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work\project\ODM\Kirole\document\20260810协议变更\"/>
    </mc:Choice>
  </mc:AlternateContent>
  <xr:revisionPtr revIDLastSave="0" documentId="13_ncr:1_{BA912817-1456-45A8-B55B-61038128E26F}" xr6:coauthVersionLast="47" xr6:coauthVersionMax="47" xr10:uidLastSave="{00000000-0000-0000-0000-000000000000}"/>
  <bookViews>
    <workbookView xWindow="-120" yWindow="-120" windowWidth="38640" windowHeight="21120" activeTab="9" xr2:uid="{00000000-000D-0000-FFFF-FFFF00000000}"/>
  </bookViews>
  <sheets>
    <sheet name="说明" sheetId="1" r:id="rId1"/>
    <sheet name="命令总览" sheetId="2" r:id="rId2"/>
    <sheet name="App命令-简单" sheetId="3" r:id="rId3"/>
    <sheet name="App命令-复杂" sheetId="4" r:id="rId4"/>
    <sheet name="子结构与记录" sheetId="5" r:id="rId5"/>
    <sheet name="设备事件-输入" sheetId="6" r:id="rId6"/>
    <sheet name="设备事件-动作与应答" sheetId="7" r:id="rId7"/>
    <sheet name="枚举与状态码" sheetId="8" r:id="rId8"/>
    <sheet name="OfflineSync-0x25" sheetId="9" r:id="rId9"/>
    <sheet name="专注重连-1.2" sheetId="10" r:id="rId10"/>
    <sheet name="Schedule-1.3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12" i="9" l="1"/>
  <c r="A111" i="9"/>
  <c r="A110" i="9"/>
  <c r="A109" i="9"/>
  <c r="A108" i="9"/>
  <c r="A107" i="9"/>
  <c r="A106" i="9"/>
  <c r="A105" i="9"/>
  <c r="A104" i="9"/>
  <c r="B98" i="9"/>
  <c r="B97" i="9"/>
  <c r="B96" i="9"/>
  <c r="B95" i="9"/>
  <c r="D90" i="9"/>
  <c r="B90" i="9"/>
  <c r="D89" i="9"/>
  <c r="B89" i="9"/>
  <c r="D88" i="9"/>
  <c r="B88" i="9"/>
  <c r="B13" i="9"/>
  <c r="A13" i="9"/>
  <c r="B12" i="9"/>
  <c r="A12" i="9"/>
  <c r="B11" i="9"/>
  <c r="A11" i="9"/>
  <c r="B10" i="9"/>
  <c r="A10" i="9"/>
  <c r="B9" i="9"/>
  <c r="A9" i="9"/>
  <c r="B8" i="9"/>
  <c r="A8" i="9"/>
  <c r="B7" i="9"/>
  <c r="A7" i="9"/>
  <c r="B6" i="9"/>
  <c r="A6" i="9"/>
  <c r="C75" i="7"/>
  <c r="C76" i="7" s="1"/>
  <c r="C38" i="7"/>
  <c r="C39" i="7" s="1"/>
  <c r="C30" i="7"/>
  <c r="C31" i="7" s="1"/>
  <c r="C96" i="6"/>
  <c r="C97" i="6" s="1"/>
  <c r="C90" i="6"/>
  <c r="C89" i="6"/>
  <c r="C83" i="6"/>
  <c r="C82" i="6"/>
  <c r="C68" i="6"/>
  <c r="C69" i="6" s="1"/>
  <c r="C60" i="6"/>
  <c r="C61" i="6" s="1"/>
  <c r="C53" i="6"/>
  <c r="C54" i="6" s="1"/>
  <c r="C13" i="6"/>
  <c r="C14" i="6" s="1"/>
  <c r="C55" i="5"/>
  <c r="C79" i="4"/>
  <c r="C80" i="4" s="1"/>
  <c r="C120" i="3"/>
  <c r="C121" i="3" s="1"/>
  <c r="C113" i="3"/>
  <c r="C114" i="3" s="1"/>
  <c r="C105" i="3"/>
  <c r="C106" i="3" s="1"/>
  <c r="C98" i="3"/>
  <c r="C19" i="2" s="1"/>
  <c r="C80" i="3"/>
  <c r="C81" i="3" s="1"/>
  <c r="C73" i="3"/>
  <c r="C74" i="3" s="1"/>
  <c r="C57" i="3"/>
  <c r="C58" i="3" s="1"/>
  <c r="C50" i="3"/>
  <c r="C51" i="3" s="1"/>
  <c r="C52" i="2"/>
  <c r="C51" i="2"/>
  <c r="C50" i="2"/>
  <c r="C49" i="2"/>
  <c r="C48" i="2"/>
  <c r="C47" i="2"/>
  <c r="C46" i="2"/>
  <c r="C45" i="2"/>
  <c r="C44" i="2"/>
  <c r="C43" i="2"/>
  <c r="C42" i="2"/>
  <c r="C41" i="2"/>
  <c r="C22" i="2"/>
  <c r="C17" i="2"/>
  <c r="C16" i="2"/>
  <c r="C14" i="2"/>
  <c r="C13" i="2"/>
  <c r="C12" i="2"/>
  <c r="C11" i="2"/>
  <c r="C10" i="2"/>
  <c r="C9" i="2"/>
  <c r="C8" i="2"/>
  <c r="C7" i="2"/>
  <c r="C6" i="2"/>
  <c r="C99" i="3" l="1"/>
  <c r="C18" i="2"/>
  <c r="C20" i="2"/>
  <c r="C21" i="2"/>
  <c r="C54" i="2"/>
</calcChain>
</file>

<file path=xl/sharedStrings.xml><?xml version="1.0" encoding="utf-8"?>
<sst xmlns="http://schemas.openxmlformats.org/spreadsheetml/2006/main" count="3407" uniqueCount="1706">
  <si>
    <t>一、BLE 配置与通用约定</t>
  </si>
  <si>
    <t>项目</t>
  </si>
  <si>
    <t>值</t>
  </si>
  <si>
    <t>大小</t>
  </si>
  <si>
    <t>单位/属性</t>
  </si>
  <si>
    <t>说明</t>
  </si>
  <si>
    <t>备注</t>
  </si>
  <si>
    <t>Service UUID</t>
  </si>
  <si>
    <t>0000FFE0-0000-1000-8000-00805F9B34FB</t>
  </si>
  <si>
    <t>-</t>
  </si>
  <si>
    <t>设备广播包必须携带，App 只扫描带该 UUID 的外设</t>
  </si>
  <si>
    <t>§2.1</t>
  </si>
  <si>
    <t>Write characteristic</t>
  </si>
  <si>
    <t>0000FFE1-0000-1000-8000-00805F9B34FB</t>
  </si>
  <si>
    <t>Write</t>
  </si>
  <si>
    <t>App → Device 命令通道</t>
  </si>
  <si>
    <t>§2.2</t>
  </si>
  <si>
    <t>Notify characteristic</t>
  </si>
  <si>
    <t>0000FFE2-0000-1000-8000-00805F9B34FB</t>
  </si>
  <si>
    <t>Notify</t>
  </si>
  <si>
    <t>Device → App 事件通道</t>
  </si>
  <si>
    <t>多字节整数</t>
  </si>
  <si>
    <t>Big Endian</t>
  </si>
  <si>
    <t>多字节整数一律大端（BE）</t>
  </si>
  <si>
    <t>§3.6</t>
  </si>
  <si>
    <t>有符号整数</t>
  </si>
  <si>
    <t>二进制补码</t>
  </si>
  <si>
    <t>int8 等按二进制补码解释</t>
  </si>
  <si>
    <t>字符串编码</t>
  </si>
  <si>
    <t>Length(1B) + UTF-8(NB)</t>
  </si>
  <si>
    <t>1+N</t>
  </si>
  <si>
    <t>UTF-8</t>
  </si>
  <si>
    <t>Length 为字节数；App 保证仅可打印 ASCII 0x20–0x7E</t>
  </si>
  <si>
    <t>§3.5</t>
  </si>
  <si>
    <t>Type 字节按方向解释</t>
  </si>
  <si>
    <t>Write 用第 4 节命令表 / Notify 用第 5 节事件表</t>
  </si>
  <si>
    <t>同一 Type 值双向含义不同（如 0x10=DayPack / EnterTaskIn）</t>
  </si>
  <si>
    <t>§2.4</t>
  </si>
  <si>
    <t>二、通用数据包格式（简单包）</t>
  </si>
  <si>
    <t>方向</t>
  </si>
  <si>
    <t>Type</t>
  </si>
  <si>
    <t>Length</t>
  </si>
  <si>
    <t>Payload</t>
  </si>
  <si>
    <t>帧长</t>
  </si>
  <si>
    <t>App → Device</t>
  </si>
  <si>
    <t>1 字节</t>
  </si>
  <si>
    <t>2 字节（BE）</t>
  </si>
  <si>
    <t>N 字节</t>
  </si>
  <si>
    <t>3 + N</t>
  </si>
  <si>
    <t>packet.count 必须等于 3 + Length；尾部多余字节视为格式错误（§3.1）</t>
  </si>
  <si>
    <t>Device → App</t>
  </si>
  <si>
    <t>2 + N</t>
  </si>
  <si>
    <t>简单事件包必须等于 2 + Length（§3.1/§5.1）</t>
  </si>
  <si>
    <t>三、分包格式（大 Payload，11 字节头，双向通用）</t>
  </si>
  <si>
    <t>偏移</t>
  </si>
  <si>
    <t>字段</t>
  </si>
  <si>
    <t>命令类型标识符（同 §3.1）</t>
  </si>
  <si>
    <t>1..2</t>
  </si>
  <si>
    <t>MessageId</t>
  </si>
  <si>
    <t>消息标识符（BE），同一消息的所有分包共享</t>
  </si>
  <si>
    <t>3..4</t>
  </si>
  <si>
    <t>Seq</t>
  </si>
  <si>
    <t>分包序号（BE，从 0 开始）；重发必须从 Seq=0 整条重发（v2.5.24 由 1B 扩为 2B）</t>
  </si>
  <si>
    <t>5..6</t>
  </si>
  <si>
    <t>Total</t>
  </si>
  <si>
    <t>分包总数（BE），上限 65535（v2.5.24 由 1B 扩为 2B）</t>
  </si>
  <si>
    <t>7..8</t>
  </si>
  <si>
    <t>PayloadLen</t>
  </si>
  <si>
    <t>本分包 payload 长度（BE）</t>
  </si>
  <si>
    <t>9..10</t>
  </si>
  <si>
    <t>CRC16</t>
  </si>
  <si>
    <t>本分包 payload 的 CRC16-CCITT-FALSE（BE）</t>
  </si>
  <si>
    <t>11..</t>
  </si>
  <si>
    <t>N</t>
  </si>
  <si>
    <t>分包 payload 数据</t>
  </si>
  <si>
    <t>四、安全握手（0x7F，secure 模式连接后必须先握手）</t>
  </si>
  <si>
    <t>消息</t>
  </si>
  <si>
    <t>Kind</t>
  </si>
  <si>
    <t>结构</t>
  </si>
  <si>
    <t>总长</t>
  </si>
  <si>
    <t>ClientHello</t>
  </si>
  <si>
    <t>0x01</t>
  </si>
  <si>
    <t>kind(1) + clientNonce(8) + timestamp(4) + hmac(32)</t>
  </si>
  <si>
    <t>App → Device，HMAC-SHA256，时间窗口 ±120 秒</t>
  </si>
  <si>
    <t>ServerHello</t>
  </si>
  <si>
    <t>0x02</t>
  </si>
  <si>
    <t>kind(1) + clientNonce(8) + serverNonce(8) + timestamp(4) + hmac(32)</t>
  </si>
  <si>
    <t>Device → App，HMAC-SHA256，时间窗口 ±120 秒</t>
  </si>
  <si>
    <t>五、SecureEnvelope（0x7E，secure 模式业务封装，总长 48 + N 字节）</t>
  </si>
  <si>
    <t>version</t>
  </si>
  <si>
    <t>固定 0x02</t>
  </si>
  <si>
    <t>payloadType</t>
  </si>
  <si>
    <t>内层业务命令类型</t>
  </si>
  <si>
    <t>2..9</t>
  </si>
  <si>
    <t>nonce</t>
  </si>
  <si>
    <t>随机数，防重放</t>
  </si>
  <si>
    <t>10..13</t>
  </si>
  <si>
    <t>issuedAt</t>
  </si>
  <si>
    <t>签发时间戳（±120 秒窗口）</t>
  </si>
  <si>
    <t>14..15</t>
  </si>
  <si>
    <t>payloadLen</t>
  </si>
  <si>
    <t>内层 payload 长度（BE）</t>
  </si>
  <si>
    <t>16..</t>
  </si>
  <si>
    <t>payload</t>
  </si>
  <si>
    <t>内层业务 payload</t>
  </si>
  <si>
    <t>16+N..</t>
  </si>
  <si>
    <t>signature</t>
  </si>
  <si>
    <t>HMAC-SHA256(version..payload)</t>
  </si>
  <si>
    <t>接收端必须校验签名、时间窗口与 nonce 重放；payloadLen 之后必须正好是 payload(NB) + signature(32B)。来源文件：F:\work\project\ODM\Kirole\document\Kirole BLE 通信协议规格文档2.10.1.md</t>
  </si>
  <si>
    <t>命令总览</t>
  </si>
  <si>
    <t>名称</t>
  </si>
  <si>
    <t>Payload 长度</t>
  </si>
  <si>
    <t>传输方式</t>
  </si>
  <si>
    <t>章节</t>
  </si>
  <si>
    <t>PetStatus</t>
  </si>
  <si>
    <t>简单包</t>
  </si>
  <si>
    <t>宠物状态信息</t>
  </si>
  <si>
    <t>§4.2</t>
  </si>
  <si>
    <t>TaskList</t>
  </si>
  <si>
    <t>今日任务列表（最多 10 个）</t>
  </si>
  <si>
    <t>§4.3</t>
  </si>
  <si>
    <t>0x03</t>
  </si>
  <si>
    <t>Schedule</t>
  </si>
  <si>
    <t>§4.4</t>
  </si>
  <si>
    <t>0x04</t>
  </si>
  <si>
    <t>Weather</t>
  </si>
  <si>
    <t>当前天气信息</t>
  </si>
  <si>
    <t>§4.5</t>
  </si>
  <si>
    <t>0x05</t>
  </si>
  <si>
    <t>Time</t>
  </si>
  <si>
    <t>时间同步</t>
  </si>
  <si>
    <t>§4.6</t>
  </si>
  <si>
    <t>0x10</t>
  </si>
  <si>
    <t>DayPack</t>
  </si>
  <si>
    <t>分包（11B 头）</t>
  </si>
  <si>
    <t>完整每日数据包</t>
  </si>
  <si>
    <t>§4.7</t>
  </si>
  <si>
    <t>0x11</t>
  </si>
  <si>
    <t>TaskInPage</t>
  </si>
  <si>
    <t>任务详情页数据</t>
  </si>
  <si>
    <t>§4.8</t>
  </si>
  <si>
    <t>0x12</t>
  </si>
  <si>
    <t>DeviceMode</t>
  </si>
  <si>
    <t>设备运行模式</t>
  </si>
  <si>
    <t>§4.9</t>
  </si>
  <si>
    <t>0x13</t>
  </si>
  <si>
    <t>SmartReminder</t>
  </si>
  <si>
    <t>AI 智能提醒推送</t>
  </si>
  <si>
    <t>§4.10</t>
  </si>
  <si>
    <t>0x14</t>
  </si>
  <si>
    <t>FocusStatus</t>
  </si>
  <si>
    <t>25+N（v2）</t>
  </si>
  <si>
    <t>带 FocusSessionId / FocusRevision 的权威专注状态</t>
  </si>
  <si>
    <t>§4.11 / 专注重连页</t>
  </si>
  <si>
    <t>0x15</t>
  </si>
  <si>
    <t>CustomAvatarFrame</t>
  </si>
  <si>
    <t>候选头像暂存帧（v4，KRI）</t>
  </si>
  <si>
    <t>§4.12</t>
  </si>
  <si>
    <t>0x16</t>
  </si>
  <si>
    <t>Screensaver</t>
  </si>
  <si>
    <t>简单包 / 分包</t>
  </si>
  <si>
    <t>屏保金句 / 明信片</t>
  </si>
  <si>
    <t>§4.15</t>
  </si>
  <si>
    <t>0x17</t>
  </si>
  <si>
    <t>SceneUnlock</t>
  </si>
  <si>
    <t>场景解锁 / 切换</t>
  </si>
  <si>
    <t>§4.16</t>
  </si>
  <si>
    <t>0x18</t>
  </si>
  <si>
    <t>OTAReboot</t>
  </si>
  <si>
    <t>触发固件升级重启（零 payload）</t>
  </si>
  <si>
    <t>§4.17</t>
  </si>
  <si>
    <t>0x19</t>
  </si>
  <si>
    <t>WiFiDebugMode</t>
  </si>
  <si>
    <t>PC Wi-Fi 调试模式控制</t>
  </si>
  <si>
    <t>§4.18</t>
  </si>
  <si>
    <t>0x1A</t>
  </si>
  <si>
    <t>WiFiAvatarSession</t>
  </si>
  <si>
    <t>SoftAP 头像快速传输会话</t>
  </si>
  <si>
    <t>§4.20</t>
  </si>
  <si>
    <t>0x1B</t>
  </si>
  <si>
    <t>TaskListSnapshotAck</t>
  </si>
  <si>
    <t>业务确认 + 完整任务快照</t>
  </si>
  <si>
    <t>§4.21</t>
  </si>
  <si>
    <t>0x1C</t>
  </si>
  <si>
    <t>ShippingMode</t>
  </si>
  <si>
    <t>开启运输模式</t>
  </si>
  <si>
    <t>0x20</t>
  </si>
  <si>
    <t>EventLogRequest</t>
  </si>
  <si>
    <t>请求指定时间戳之后的事件日志</t>
  </si>
  <si>
    <t>§4.13</t>
  </si>
  <si>
    <t>0x22</t>
  </si>
  <si>
    <t>AvatarControl</t>
  </si>
  <si>
    <t>头像事务控制（固定 21B）</t>
  </si>
  <si>
    <t>§4.19</t>
  </si>
  <si>
    <t>0x7E</t>
  </si>
  <si>
    <t>SecureData</t>
  </si>
  <si>
    <t>48+N（变长）</t>
  </si>
  <si>
    <t>安全业务封装（48+N 字节）</t>
  </si>
  <si>
    <t>§3.4</t>
  </si>
  <si>
    <t>0x7F</t>
  </si>
  <si>
    <t>SecurityHandshake</t>
  </si>
  <si>
    <t>45 / 53（固定）</t>
  </si>
  <si>
    <t>安全握手（45 / 53 字节）</t>
  </si>
  <si>
    <t>§3.3</t>
  </si>
  <si>
    <t>0x25</t>
  </si>
  <si>
    <t>OfflineSync</t>
  </si>
  <si>
    <t>1 / 5 / 9 / 14 / 33</t>
  </si>
  <si>
    <t>离线数据事务、操作确认及专注状态裁决（双向）</t>
  </si>
  <si>
    <t>OfflineSync页</t>
  </si>
  <si>
    <t>EncoderRotateUp</t>
  </si>
  <si>
    <t>0（无 Payload）</t>
  </si>
  <si>
    <t>简单事件包</t>
  </si>
  <si>
    <t>旋钮向上旋转（顺时针）</t>
  </si>
  <si>
    <t>§5.2</t>
  </si>
  <si>
    <t>EncoderRotateDown</t>
  </si>
  <si>
    <t>旋钮向下旋转（逆时针）</t>
  </si>
  <si>
    <t>EncoderShortPress</t>
  </si>
  <si>
    <t>旋钮短按（确认）</t>
  </si>
  <si>
    <t>EncoderLongPress</t>
  </si>
  <si>
    <t>旋钮长按</t>
  </si>
  <si>
    <t>PowerShortPress</t>
  </si>
  <si>
    <t>电源按钮短按</t>
  </si>
  <si>
    <t>0x06</t>
  </si>
  <si>
    <t>PowerLongPress</t>
  </si>
  <si>
    <t>电源按钮长按</t>
  </si>
  <si>
    <t>EnterTaskIn</t>
  </si>
  <si>
    <t>18+N（v2）</t>
  </si>
  <si>
    <t>进入专注；携带操作 ID、专注会话 ID 与开始时间</t>
  </si>
  <si>
    <t>§5.3 / 专注重连页</t>
  </si>
  <si>
    <t>CompleteTask</t>
  </si>
  <si>
    <t>22+N（v2）</t>
  </si>
  <si>
    <t>完成任务并结束指定专注会话</t>
  </si>
  <si>
    <t>§5.4 / 专注重连页</t>
  </si>
  <si>
    <t>SkipTask</t>
  </si>
  <si>
    <t>跳过任务并结束指定专注会话</t>
  </si>
  <si>
    <t>§5.5 / 专注重连页</t>
  </si>
  <si>
    <t>SelectedTaskChanged</t>
  </si>
  <si>
    <t>切换选中任务</t>
  </si>
  <si>
    <t>§5.6</t>
  </si>
  <si>
    <t>WheelSelect</t>
  </si>
  <si>
    <t>旋钮按下选择确认</t>
  </si>
  <si>
    <t>§5.10</t>
  </si>
  <si>
    <t>ViewEventDetail</t>
  </si>
  <si>
    <t>查看日历事件详情</t>
  </si>
  <si>
    <t>§5.11</t>
  </si>
  <si>
    <t>ReminderAcknowledged</t>
  </si>
  <si>
    <t>确认智能提醒</t>
  </si>
  <si>
    <t>§5.12</t>
  </si>
  <si>
    <t>ReminderDismissed</t>
  </si>
  <si>
    <t>提醒超时自动消失</t>
  </si>
  <si>
    <t>§5.13</t>
  </si>
  <si>
    <t>OTAResult</t>
  </si>
  <si>
    <t>OTA 升级重启应答</t>
  </si>
  <si>
    <t>§5.17</t>
  </si>
  <si>
    <t>WiFiDebugResult</t>
  </si>
  <si>
    <t>Wi-Fi 调试模式实时应答</t>
  </si>
  <si>
    <t>§5.18</t>
  </si>
  <si>
    <t>WiFiAvatarSessionResult</t>
  </si>
  <si>
    <t>SoftAP 会话实时应答</t>
  </si>
  <si>
    <t>§5.20</t>
  </si>
  <si>
    <t>RequestRefresh</t>
  </si>
  <si>
    <t>请求数据刷新（v2.9）</t>
  </si>
  <si>
    <t>§5.7</t>
  </si>
  <si>
    <t>0x21</t>
  </si>
  <si>
    <t>EventLogBatch</t>
  </si>
  <si>
    <t>批量回传事件日志</t>
  </si>
  <si>
    <t>§5.15</t>
  </si>
  <si>
    <t>AvatarControlResult</t>
  </si>
  <si>
    <t>头像事务实时结果（31B）</t>
  </si>
  <si>
    <t>§5.19</t>
  </si>
  <si>
    <t>0x30</t>
  </si>
  <si>
    <t>DeviceWake</t>
  </si>
  <si>
    <t>设备上线通知（29B）</t>
  </si>
  <si>
    <t>§5.8</t>
  </si>
  <si>
    <t>0x31</t>
  </si>
  <si>
    <t>DeviceSleep</t>
  </si>
  <si>
    <t>设备进入睡眠</t>
  </si>
  <si>
    <t>§5.9</t>
  </si>
  <si>
    <t>0x40</t>
  </si>
  <si>
    <t>LowBattery</t>
  </si>
  <si>
    <t>设备电量低通知</t>
  </si>
  <si>
    <t>§5.14</t>
  </si>
  <si>
    <t>7 / 20 / 37+N / 变长</t>
  </si>
  <si>
    <t>同步状态、专注快照、处理结果与离线操作批量补报</t>
  </si>
  <si>
    <t>App → Device 命令详解（一）</t>
  </si>
  <si>
    <t>单位：字节（Byte）；1+N = 1 字节长度前缀 + N 字节内容；… 表示偏移随变长字段累积</t>
  </si>
  <si>
    <t>§4.2  PetStatus（0x01）</t>
  </si>
  <si>
    <t>方向：App → Device（FFE1 Write）｜传输：简单包｜用途：宠物状态信息；明文（secure 模式经 0x7E 封装）</t>
  </si>
  <si>
    <t>偏移(字节)</t>
  </si>
  <si>
    <t>大小(字节)</t>
  </si>
  <si>
    <t>上限(字节)</t>
  </si>
  <si>
    <t>取值/枚举</t>
  </si>
  <si>
    <t>Name</t>
  </si>
  <si>
    <t>长度前缀字符串</t>
  </si>
  <si>
    <t>显示名（UTF-8 / 可打印 ASCII）</t>
  </si>
  <si>
    <t>N+1</t>
  </si>
  <si>
    <t>Mood</t>
  </si>
  <si>
    <t>H / E / F / S / M</t>
  </si>
  <si>
    <t>心情首字母（ASCII），见「枚举与状态码」页；固件当前阶段可忽略该字节</t>
  </si>
  <si>
    <t>N+2</t>
  </si>
  <si>
    <t>CharacterId</t>
  </si>
  <si>
    <t>joy / silas / nova</t>
  </si>
  <si>
    <t>伴侣 IP，恒为最近一次内置选择</t>
  </si>
  <si>
    <t>...</t>
  </si>
  <si>
    <t>CustomActive</t>
  </si>
  <si>
    <t>0x00 / 0x01</t>
  </si>
  <si>
    <t>0x01=自定义形象激活（除专注页显示已持久化的 0x15 图）；0x00=按 CharacterId 渲染内置；固件读完 CharacterId 后必须再读此字节</t>
  </si>
  <si>
    <t>Payload 总长（字节）</t>
  </si>
  <si>
    <t>变长</t>
  </si>
  <si>
    <t>可变：Name(1+N) + Mood(1) + CharacterId(1+N) + CustomActive(1)，N 由实际字符串长度决定</t>
  </si>
  <si>
    <t>完整帧长（字节）</t>
  </si>
  <si>
    <t>3 + Payload（变长）</t>
  </si>
  <si>
    <t>简单包：Type(1B) + Length(2B, BE) + Payload</t>
  </si>
  <si>
    <t>§4.3  TaskList（0x02）</t>
  </si>
  <si>
    <t>TaskCount</t>
  </si>
  <si>
    <t>0–10</t>
  </si>
  <si>
    <t>任务数量</t>
  </si>
  <si>
    <t>1+</t>
  </si>
  <si>
    <t>Tasks[]</t>
  </si>
  <si>
    <t>见「子结构与记录」页</t>
  </si>
  <si>
    <t>§4.5  Weather（0x04）</t>
  </si>
  <si>
    <t>方向：App → Device（FFE1 Write）｜传输：简单包｜用途：当前天气信息｜v2.5.9 起含 HighTemp / LowTemp，固件必须读到 LowTemp；明文（secure 模式经 0x7E 封装）</t>
  </si>
  <si>
    <t>Temperature</t>
  </si>
  <si>
    <t>int8（℃）</t>
  </si>
  <si>
    <t>当前温度</t>
  </si>
  <si>
    <t>Condition</t>
  </si>
  <si>
    <t>sun.max.fill 等</t>
  </si>
  <si>
    <t>天气状况字符串（SF Symbol 值），见「枚举与状态码」页</t>
  </si>
  <si>
    <t>HighTemp</t>
  </si>
  <si>
    <t>当日最高温（v2.5.9 追加）</t>
  </si>
  <si>
    <t>LowTemp</t>
  </si>
  <si>
    <t>当日最低温（v2.5.9 追加）</t>
  </si>
  <si>
    <t>可变：Temperature(1) + Condition(1+N≤15) + HighTemp(1) + LowTemp(1)，约 10 字节</t>
  </si>
  <si>
    <t>§4.6  Time（0x05）</t>
  </si>
  <si>
    <t>方向：App → Device（FFE1 Write）｜传输：简单包｜用途：时间同步；明文（secure 模式经 0x7E 封装）</t>
  </si>
  <si>
    <t>Year</t>
  </si>
  <si>
    <t>年份-2000</t>
  </si>
  <si>
    <t>例如 26 = 2026</t>
  </si>
  <si>
    <t>Month</t>
  </si>
  <si>
    <t>1–12</t>
  </si>
  <si>
    <t>月份</t>
  </si>
  <si>
    <t>Day</t>
  </si>
  <si>
    <t>1–31</t>
  </si>
  <si>
    <t>日期</t>
  </si>
  <si>
    <t>Hour</t>
  </si>
  <si>
    <t>0–23</t>
  </si>
  <si>
    <t>小时</t>
  </si>
  <si>
    <t>Minute</t>
  </si>
  <si>
    <t>0–59</t>
  </si>
  <si>
    <t>分钟</t>
  </si>
  <si>
    <t>Second</t>
  </si>
  <si>
    <t>秒</t>
  </si>
  <si>
    <t>固定长度（字段均为定长字节）</t>
  </si>
  <si>
    <t>§4.9  DeviceMode（0x12）</t>
  </si>
  <si>
    <t>方向：App → Device（FFE1 Write）｜传输：简单包｜用途：设置设备运行模式；明文（secure 模式经 0x7E 封装）</t>
  </si>
  <si>
    <t>Mode</t>
  </si>
  <si>
    <t>0x00=Interactive，0x01=Focus；仅为设置快照，不得用于进入、退出或裁决专注状态</t>
  </si>
  <si>
    <t>§4.10  SmartReminder（0x13）</t>
  </si>
  <si>
    <t>方向：App → Device（FFE1 Write）｜传输：简单包｜用途：AI 智能提醒推送；明文（secure 模式经 0x7E 封装）</t>
  </si>
  <si>
    <t>ReminderText</t>
  </si>
  <si>
    <t>提醒消息文本</t>
  </si>
  <si>
    <t>ReminderType</t>
  </si>
  <si>
    <t>0x00=gentle 普通提醒，0x01=urgent 紧急提醒（加粗边框）</t>
  </si>
  <si>
    <t>PetMoodByte</t>
  </si>
  <si>
    <t>显示用宠物心情；固件当前阶段应忽略（同 §4.2 Mood）</t>
  </si>
  <si>
    <t>可变：ReminderText(1+N≤60) + ReminderType(1) + PetMoodByte(1)</t>
  </si>
  <si>
    <t>§4.13  EventLogRequest（0x20）</t>
  </si>
  <si>
    <t>方向：App → Device（FFE1 Write）｜传输：简单包｜用途：请求增量事件日志；明文（secure 模式经 0x7E 封装）</t>
  </si>
  <si>
    <t>Since</t>
  </si>
  <si>
    <t>UInt32 BE</t>
  </si>
  <si>
    <t>Unix Timestamp；设备回传 timestamp &gt; Since 的事件（EventLogBatch 0x21）</t>
  </si>
  <si>
    <t>§4.16  SceneUnlock（0x17）</t>
  </si>
  <si>
    <t>方向：App → Device（FFE1 Write）｜传输：简单包｜用途：场景解锁 / 切换（替代旧 0xAA 01 01）；明文（secure 模式经 0x7E 封装）</t>
  </si>
  <si>
    <t>SceneId</t>
  </si>
  <si>
    <t>0x00 / 0x01 / 0x02</t>
  </si>
  <si>
    <t>0x00=harbor，0x01=forest，0x02=nightCity</t>
  </si>
  <si>
    <t>§4.15  Screensaver（0x16）</t>
  </si>
  <si>
    <t>方向：App → Device（FFE1 Write）｜传输：分包（11B 头）｜用途：屏保金句 / 明信片（替代旧 0xAA 01 02）｜Quote+Author 较长时按 §3.2 分包；明文（secure 模式经 0x7E 封装）</t>
  </si>
  <si>
    <t>ContentType</t>
  </si>
  <si>
    <t>0x00=normal 金句，0x01=postcard 明信片</t>
  </si>
  <si>
    <t>SceneByte</t>
  </si>
  <si>
    <t>0x00–0x02</t>
  </si>
  <si>
    <t>场景：0x00=harbor，0x01=forest，0x02=nightCity</t>
  </si>
  <si>
    <t>PostcardDay</t>
  </si>
  <si>
    <t>0–255</t>
  </si>
  <si>
    <t>明信片天数，无则为 0</t>
  </si>
  <si>
    <t>Quote</t>
  </si>
  <si>
    <t>UTF-8 金句</t>
  </si>
  <si>
    <t>Author</t>
  </si>
  <si>
    <t>UTF-8 作者</t>
  </si>
  <si>
    <t>可变：ContentType(1) + SceneByte(1) + PostcardDay(1) + Quote(1+N≤180) + Author(1+N≤40)</t>
  </si>
  <si>
    <t>简单包 / 分包（11B 头）</t>
  </si>
  <si>
    <t>分包：Type(1B) + MessageId(2B) + Seq(2B) + Total(2B) + PayloadLen(2B) + CRC16(2B) + Payload</t>
  </si>
  <si>
    <t>§4.17  OTAReboot（0x18）</t>
  </si>
  <si>
    <t>方向：App → Device（FFE1 Write）｜传输：简单包｜用途：触发固件升级重启｜零 payload；固件校验 update.bin 合法后回 OTAResult 并立即重启；明文（secure 模式经 0x7E 封装）</t>
  </si>
  <si>
    <t>—</t>
  </si>
  <si>
    <t>（无字段）</t>
  </si>
  <si>
    <t>Length = 0</t>
  </si>
  <si>
    <t>升级包不经 BLE 传输，由设备 WiFi AP 网页接收 update.bin（≤3MB）</t>
  </si>
  <si>
    <t>§4.18  WiFiDebugMode（0x19）</t>
  </si>
  <si>
    <t>方向：App → Device（FFE1 Write）｜传输：简单包｜用途：开启 / 关闭 / 查询 PC Wi-Fi 调试模式｜明文帧示例：19 00 01 00（关闭）/ 01（开启）/ 02（查询）；明文（secure 模式经 0x7E 封装）</t>
  </si>
  <si>
    <t>Command</t>
  </si>
  <si>
    <t>0x00=关闭，0x01=开启，0x02=查询当前实际状态（不改变状态）</t>
  </si>
  <si>
    <t>§4.20  WiFiAvatarSession（0x1A）</t>
  </si>
  <si>
    <t>方向：App → Device（FFE1 Write）｜传输：简单包｜用途：SoftAP 头像快速传输会话控制｜明文帧示例：1A 00 05 01 &lt;OperationID 4B&gt;；明文（secure 模式经 0x7E 封装）</t>
  </si>
  <si>
    <t>0x00=close 停止 SoftAP，0x01=open 启动并回报凭据+端点，0x02=query 只读查询</t>
  </si>
  <si>
    <t>OperationID</t>
  </si>
  <si>
    <t>绑定本次头像事务（同 0x15/0x22 的 OperationID），须非零</t>
  </si>
  <si>
    <t>开启运输模式，无ACK，app以断连作为生效信号</t>
  </si>
  <si>
    <t>约定：大小以字节（Byte）为单位；「1+N」= 1 字节长度前缀 + N 字节内容；「…」表示偏移随前面的变长字段累积；多字节整数一律 Big Endian。来源：Kirole BLE 通信协议规格文档 2.10.1。</t>
  </si>
  <si>
    <t>App → Device 命令详解（二）</t>
  </si>
  <si>
    <t>方向：App → Device（FFE1 Write）｜传输：分包（11B 头）｜用途：设备「概览」帧的完整每日数据包｜v2.5.0 破坏性重写；全字段按序存在、无条件写入，空字符串 = 1 字节 0x00；明文（secure 模式经 0x7E 封装）</t>
  </si>
  <si>
    <t>0x00=Interactive，0x01=Focus；设置类快照，App 当前恒发 0x00，不得用于判定专注态</t>
  </si>
  <si>
    <t>FocusChallengeEnabled</t>
  </si>
  <si>
    <t>0x00=禁用，0x01=启用</t>
  </si>
  <si>
    <t>PetDialogue</t>
  </si>
  <si>
    <t>宠物气泡（阶段感知，早安/陪伴/结算同一句变脸）</t>
  </si>
  <si>
    <t>EventCount</t>
  </si>
  <si>
    <t>0–N</t>
  </si>
  <si>
    <t>今日事件数</t>
  </si>
  <si>
    <t>Events[]</t>
  </si>
  <si>
    <t>事件列表；每条 6 字段（Time/Title/Description/Category/EndTime/SupportText）</t>
  </si>
  <si>
    <t>0–5</t>
  </si>
  <si>
    <t>置顶任务数量（4寸≤3 / 7.3寸≤5）</t>
  </si>
  <si>
    <t>TopTasks[]</t>
  </si>
  <si>
    <t>置顶任务；每条 4 字段（TaskId/Title/IsCompleted/Priority）</t>
  </si>
  <si>
    <t>SettlementData</t>
  </si>
  <si>
    <t>定长数值</t>
  </si>
  <si>
    <t>进度/专注数值，固定 10B（见「子结构与记录」页）</t>
  </si>
  <si>
    <t>DaySummary</t>
  </si>
  <si>
    <t>一天总结（情绪向，只谈日程 + 一条建议）；空串=尚未生成</t>
  </si>
  <si>
    <t>FirstUp</t>
  </si>
  <si>
    <t>「First up:」下一项内容，App 算好下发</t>
  </si>
  <si>
    <t>SettlementReview</t>
  </si>
  <si>
    <t>每日总结页·概况点评（v2.6.0）；空串=尚未生成</t>
  </si>
  <si>
    <t>SettlementQuote</t>
  </si>
  <si>
    <t>每日总结页·金句/明日鼓励（v2.6.0）；DayPack 当前最后一个字段</t>
  </si>
  <si>
    <t>§4.8  TaskInPage（0x11）</t>
  </si>
  <si>
    <t>方向：App → Device（FFE1 Write）｜传输：分包（11B 头）｜用途：任务详情页数据（页面 3）；明文（secure 模式经 0x7E 封装）</t>
  </si>
  <si>
    <t>TaskId</t>
  </si>
  <si>
    <t>与 Overview 条目一致的硬件任务 ID</t>
  </si>
  <si>
    <t>TaskTitle</t>
  </si>
  <si>
    <t>任务标题</t>
  </si>
  <si>
    <t>TaskDescription</t>
  </si>
  <si>
    <t>任务描述</t>
  </si>
  <si>
    <t>Encouragement</t>
  </si>
  <si>
    <t>v2.10.0 起改装「支持性文字」，恒按 Deep Work 规则生成；空串合法（不渲染该行）</t>
  </si>
  <si>
    <t>FocusChallengeActive</t>
  </si>
  <si>
    <t>0x00=未激活，0x01=已激活</t>
  </si>
  <si>
    <t>可变：TaskId(1+N≤36) + TaskTitle(1+N≤40) + TaskDescription(1+N≤100) + Encouragement(1+N≤80) + FocusChallengeActive(1)</t>
  </si>
  <si>
    <t>§4.11  FocusStatus（0x14，SubVersion 0x02）</t>
  </si>
  <si>
    <t>方向：App → Device（FFE1 Write）｜传输：简单包｜用途：同步完成后的权威专注状态；同步裁决完成前不得覆盖设备离线状态；详见「专注重连-1.2」页</t>
  </si>
  <si>
    <t>0</t>
  </si>
  <si>
    <t>SubVersion</t>
  </si>
  <si>
    <t>1</t>
  </si>
  <si>
    <t>旧版 0x14 仅用于不支持 v2 的固件</t>
  </si>
  <si>
    <t>1..4</t>
  </si>
  <si>
    <t>FocusRevision</t>
  </si>
  <si>
    <t>4</t>
  </si>
  <si>
    <t>小于设备已应用版本时必须拒绝</t>
  </si>
  <si>
    <t>5..12</t>
  </si>
  <si>
    <t>FocusSessionId</t>
  </si>
  <si>
    <t>8</t>
  </si>
  <si>
    <t>8B 原始会话 ID</t>
  </si>
  <si>
    <t>BootSessionId(4B)+StartOperationID(4B)</t>
  </si>
  <si>
    <t>13..19</t>
  </si>
  <si>
    <t>StatusBlock</t>
  </si>
  <si>
    <t>7</t>
  </si>
  <si>
    <t>State(1)+Phase(1)+Bottles(1)+ElapsedSeconds(4)</t>
  </si>
  <si>
    <t>阶段和瓶子按权威时长派生，不做双方累加</t>
  </si>
  <si>
    <t>20..</t>
  </si>
  <si>
    <t>TaskTitle + SegmentSeconds</t>
  </si>
  <si>
    <t>1+N+4</t>
  </si>
  <si>
    <t>N≤40</t>
  </si>
  <si>
    <t>TaskTitleLength(1)+TaskTitle(N)+SegmentSeconds(4)</t>
  </si>
  <si>
    <t>秒级同步；当前未打断连续时长</t>
  </si>
  <si>
    <t>25+N</t>
  </si>
  <si>
    <t>固定头 20B + TaskTitle(1+N) + SegmentSeconds(4)</t>
  </si>
  <si>
    <t>§4.12  CustomAvatarFrame（0x15）</t>
  </si>
  <si>
    <t>方向：App → Device（FFE1 Write）｜传输：分包（11B 头）｜用途：候选头像暂存帧（v4，唯一可接受版本）｜重组后 payload 上限 29 + 2,240,012 = 2,240,041B；v2.7 起只暂存，不直接切换显示；明文（secure 模式经 0x7E 封装）</t>
  </si>
  <si>
    <t>固定 0x04</t>
  </si>
  <si>
    <t>0x01/0x02/0x03 已废弃，收到时丢弃整帧</t>
  </si>
  <si>
    <t>App 生成的单操作身份</t>
  </si>
  <si>
    <t>AvatarID</t>
  </si>
  <si>
    <t>16 原始字节</t>
  </si>
  <si>
    <t>自定义伴侣 UUID；擦除与提交均按此精确匹配</t>
  </si>
  <si>
    <t>FileLength</t>
  </si>
  <si>
    <t>必须严格等于 KRIFile 字节数</t>
  </si>
  <si>
    <t>FileCRC32</t>
  </si>
  <si>
    <t>CRC-32/IEEE BE</t>
  </si>
  <si>
    <t>KRIFile 的校验值</t>
  </si>
  <si>
    <t>KRIFile</t>
  </si>
  <si>
    <t>2,240,012</t>
  </si>
  <si>
    <t>KRI v1 文件</t>
  </si>
  <si>
    <t>12B 小端文件头 + 直通 alpha BGRA 像素；无压缩、无行 padding、无尾数据</t>
  </si>
  <si>
    <t>v4 头固定 29B；KRIFile 最大 2,240,012B</t>
  </si>
  <si>
    <t>§4.21  TaskListSnapshotAck（0x1B）</t>
  </si>
  <si>
    <t>固定 0x01</t>
  </si>
  <si>
    <t>其他版本整帧拒绝</t>
  </si>
  <si>
    <t>Action</t>
  </si>
  <si>
    <t>0x11 / 0x12 / 0x20</t>
  </si>
  <si>
    <t>原请求动作：0x11 Complete，0x12 Skip，0x20 Refresh</t>
  </si>
  <si>
    <t>原样回显动作 OperationID；对 0x20 回显 RequestID；必须非零</t>
  </si>
  <si>
    <t>Result</t>
  </si>
  <si>
    <t>见枚举页</t>
  </si>
  <si>
    <t>本次业务处理结果（applied / alreadyApplied / taskNotFound / invalidRequest / supersededByApp / internalError）</t>
  </si>
  <si>
    <t>StateEpoch</t>
  </si>
  <si>
    <t>App 任务快照世代；重装或世代重建后改变</t>
  </si>
  <si>
    <t>Revision</t>
  </si>
  <si>
    <t>同一 StateEpoch 内严格递增，首个有效快照从 1 开始</t>
  </si>
  <si>
    <t>完整 Overview 清单条数：4寸 0–3，7.3寸 0–5</t>
  </si>
  <si>
    <t>16+</t>
  </si>
  <si>
    <t>完整替换快照；每条 = TaskIdLength(1)+TaskId(N1≤36)+TitleLength(1)+Title(N2≤30)+IsCompleted(1)+Priority(1)</t>
  </si>
  <si>
    <t>§4.19  AvatarControl（0x22）</t>
  </si>
  <si>
    <t>方向：App → Device（FFE1 Write）｜传输：简单包｜用途：提交 / 擦除 / 查询 / 取消头像事务；明文（secure 模式经 0x7E 封装）</t>
  </si>
  <si>
    <t>0x01–0x05</t>
  </si>
  <si>
    <t>0x01=commit，0x02=eraseExact，0x03=eraseAll，0x04=query，0x05=abort（详见枚举页）</t>
  </si>
  <si>
    <t>头像事务操作 ID</t>
  </si>
  <si>
    <t>commit/eraseExact 必填；eraseAll/query/abort 全 16B 为 0</t>
  </si>
  <si>
    <t>子结构字段表与日志记录格式</t>
  </si>
  <si>
    <t>供 0x02 / 0x03 / 0x10 / 0x1B / 0x21 等命令引用 · 单位：字节（Byte）</t>
  </si>
  <si>
    <t>§4.3  TaskList · Task 条目（0x02）（子结构）</t>
  </si>
  <si>
    <t>TaskList(0x02) 内部结构：每条任务条目（由 TaskCount 指定条数，随后顺序编码）</t>
  </si>
  <si>
    <t>TaskIdLength</t>
  </si>
  <si>
    <t>0–36</t>
  </si>
  <si>
    <t>TaskId 的 UTF-8 字节数</t>
  </si>
  <si>
    <t>N1</t>
  </si>
  <si>
    <t>硬件任务 ID；App 对超长外部 ID 生成 h- + 32 位十六进制摘要</t>
  </si>
  <si>
    <t>1+N1</t>
  </si>
  <si>
    <t>TitleLength</t>
  </si>
  <si>
    <t>0–30</t>
  </si>
  <si>
    <t>Title 的 UTF-8 字节数</t>
  </si>
  <si>
    <t>Title</t>
  </si>
  <si>
    <t>N2</t>
  </si>
  <si>
    <t>IsCompleted</t>
  </si>
  <si>
    <t>0x00=未完成，0x01=已完成</t>
  </si>
  <si>
    <t>Priority</t>
  </si>
  <si>
    <t>1–3</t>
  </si>
  <si>
    <t>优先级</t>
  </si>
  <si>
    <t>§4.7  DayPack · Event 条目（0x10）（子结构）</t>
  </si>
  <si>
    <t>DayPack(0x10) 内部结构：每条事件条目（6 字段，EventCount 之后顺序编码）</t>
  </si>
  <si>
    <t>起始时间 "HH:mm"；全天事件为空串（1 字节 0x00）</t>
  </si>
  <si>
    <t>事件标题</t>
  </si>
  <si>
    <t>Description</t>
  </si>
  <si>
    <t>事件描述（设计稿事件卡正文）</t>
  </si>
  <si>
    <t>Category</t>
  </si>
  <si>
    <t>0x00–0x06</t>
  </si>
  <si>
    <t>事件类别（v2.5.27，AI 打标）；0x00=未分类不画图标，详见枚举页</t>
  </si>
  <si>
    <t>EndTime</t>
  </si>
  <si>
    <t>结束时间 "HH:mm"（v2.6.0）；全天事件空串，跨午夜按 "23:59" 封顶</t>
  </si>
  <si>
    <t>SupportText</t>
  </si>
  <si>
    <t>支持性文字（v2.10.0，按 Category 规则生成）；空串=未生成</t>
  </si>
  <si>
    <t>每条可变：Time + Title + Description + Category(1) + EndTime + SupportText</t>
  </si>
  <si>
    <t>§4.7  DayPack · TopTask 条目（0x10）（子结构）</t>
  </si>
  <si>
    <t>DayPack(0x10) 内部结构：每条置顶任务条目（4 字段，TaskCount 之后顺序编码）</t>
  </si>
  <si>
    <t>DayPack(0x10) 内部结构：定长 10 字节数值块</t>
  </si>
  <si>
    <t>TasksCompleted</t>
  </si>
  <si>
    <t>clamp 0–255</t>
  </si>
  <si>
    <t>已完成项数 = 已完成任务 + 已结束日程</t>
  </si>
  <si>
    <t>TasksTotal</t>
  </si>
  <si>
    <t>总项数 = 当日全部任务 + 全部今日日程</t>
  </si>
  <si>
    <t>PointsEarned</t>
  </si>
  <si>
    <t>UInt16 BE</t>
  </si>
  <si>
    <t>积分</t>
  </si>
  <si>
    <t>TotalFocusMinutes</t>
  </si>
  <si>
    <t>总专注时间（分钟）</t>
  </si>
  <si>
    <t>FocusSessionCount</t>
  </si>
  <si>
    <t>专注会话次数</t>
  </si>
  <si>
    <t>LongestFocusMinutes</t>
  </si>
  <si>
    <t>最长单次专注时间（分钟）</t>
  </si>
  <si>
    <t>InterruptionCount</t>
  </si>
  <si>
    <t>专注期间手机解锁次数</t>
  </si>
  <si>
    <t>总长（字节）</t>
  </si>
  <si>
    <t>TaskListSnapshotAck(0x1B) 内部结构：每条任务条目（由 TaskCount 指定条数，随后顺序编码）</t>
  </si>
  <si>
    <t>当前正常发送恒为 0x00（快照只含未完成任务）；字节保留为结构与 TopTask 一致</t>
  </si>
  <si>
    <t>§5.15  EventLogBatch（0x21）· Record 记录格式（子结构）</t>
  </si>
  <si>
    <t>EventLogBatch(0x21) 内部结构：Count(1B) + Records[] 记录流</t>
  </si>
  <si>
    <t>Count</t>
  </si>
  <si>
    <t>本批次记录条数；App 严格校验整批长度，必须恰好解析出 Count 条</t>
  </si>
  <si>
    <t>Records[]</t>
  </si>
  <si>
    <t>见下表</t>
  </si>
  <si>
    <t>顺序拼接的记录流；记录类型 1B + payload N B</t>
  </si>
  <si>
    <t>可变：1 + Σ(1 + 各记录 payload)</t>
  </si>
  <si>
    <t>EventLogBatch · 各类事件记录字节长度（按事件类型）</t>
  </si>
  <si>
    <t>事件类型</t>
  </si>
  <si>
    <t>Payload 组成</t>
  </si>
  <si>
    <t>记录总长</t>
  </si>
  <si>
    <t>0x01–0x06、0x31</t>
  </si>
  <si>
    <t>无 payload</t>
  </si>
  <si>
    <t>0x30（批量内）</t>
  </si>
  <si>
    <t>BatteryLevel(1B)</t>
  </si>
  <si>
    <t>2 字节</t>
  </si>
  <si>
    <t>StatusCode(1B)</t>
  </si>
  <si>
    <t>0x16、0x17</t>
  </si>
  <si>
    <t>Timestamp(4B)</t>
  </si>
  <si>
    <t>5 字节</t>
  </si>
  <si>
    <t>Length(1B) + TaskId(NB) + Timestamp(4B)</t>
  </si>
  <si>
    <t>6+N 字节</t>
  </si>
  <si>
    <t>0x11、0x12（v2.9）</t>
  </si>
  <si>
    <t>SubVersion(1B) + OperationID(4B) + TaskIdLength(1B) + TaskId(NB) + Timestamp(4B)</t>
  </si>
  <si>
    <t>11+N 字节</t>
  </si>
  <si>
    <t>0x13–0x15</t>
  </si>
  <si>
    <t>Length(1B) + Id(NB)</t>
  </si>
  <si>
    <t>2+N 字节</t>
  </si>
  <si>
    <t>0x19、0x1A、0x20、0x22</t>
  </si>
  <si>
    <t>禁止入批（实时应答/控制请求）</t>
  </si>
  <si>
    <t>Type 0x01 EncoderRotateUp</t>
  </si>
  <si>
    <t>Type 0x02 EncoderRotateDown</t>
  </si>
  <si>
    <t>Type 0x03 EncoderShortPress</t>
  </si>
  <si>
    <t>Type 0x04 EncoderLongPress</t>
  </si>
  <si>
    <t>Type 0x05 PowerShortPress</t>
  </si>
  <si>
    <t>Type 0x06 PowerLongPress</t>
  </si>
  <si>
    <t>0..12</t>
  </si>
  <si>
    <t>SessionHeader</t>
  </si>
  <si>
    <t>13</t>
  </si>
  <si>
    <t>SubVersion(1)+OperationID(4)+FocusSessionId(8)</t>
  </si>
  <si>
    <t>13..</t>
  </si>
  <si>
    <t>TaskIdLength(1)+TaskId(N)</t>
  </si>
  <si>
    <t>14+N..17+N</t>
  </si>
  <si>
    <t>StartTimestamp</t>
  </si>
  <si>
    <t>UInt32 BE Unix Timestamp</t>
  </si>
  <si>
    <t>18+N</t>
  </si>
  <si>
    <t>SubVersion(1)+OperationID(4)+FocusSessionId(8)+TaskId(1+N)+StartTimestamp(4)</t>
  </si>
  <si>
    <t>ItemId</t>
  </si>
  <si>
    <t>EventId</t>
  </si>
  <si>
    <t>Event ID</t>
  </si>
  <si>
    <t>Timestamp</t>
  </si>
  <si>
    <t>Unix Timestamp</t>
  </si>
  <si>
    <t>RequestID</t>
  </si>
  <si>
    <t>BatteryLevel</t>
  </si>
  <si>
    <t>clamp 0–100</t>
  </si>
  <si>
    <t>FwMajor</t>
  </si>
  <si>
    <t>FwMinor</t>
  </si>
  <si>
    <t>FwPatch</t>
  </si>
  <si>
    <t>AvatarState</t>
  </si>
  <si>
    <t>AvatarCRC32</t>
  </si>
  <si>
    <t>14</t>
  </si>
  <si>
    <t>36</t>
  </si>
  <si>
    <t>EndTimestamp</t>
  </si>
  <si>
    <t>18+N..21+N</t>
  </si>
  <si>
    <t>ElapsedSeconds</t>
  </si>
  <si>
    <t>22+N</t>
  </si>
  <si>
    <t>SubVersion(1)+OperationID(4)+FocusSessionId(8)+TaskId(1+N)+EndTimestamp(4)+ElapsedSeconds(4)</t>
  </si>
  <si>
    <t>StatusCode</t>
  </si>
  <si>
    <t>Enabled</t>
  </si>
  <si>
    <t>Status</t>
  </si>
  <si>
    <t>SSID</t>
  </si>
  <si>
    <t>Passphrase</t>
  </si>
  <si>
    <t>1+N2</t>
  </si>
  <si>
    <t>Gateway</t>
  </si>
  <si>
    <t>Port</t>
  </si>
  <si>
    <t>Path</t>
  </si>
  <si>
    <t>1+N3</t>
  </si>
  <si>
    <t>Token</t>
  </si>
  <si>
    <t>1+N4</t>
  </si>
  <si>
    <t>TTL</t>
  </si>
  <si>
    <t>取值表：枚举与状态码</t>
  </si>
  <si>
    <t>H</t>
  </si>
  <si>
    <t>Happy</t>
  </si>
  <si>
    <t>E</t>
  </si>
  <si>
    <t>Excited</t>
  </si>
  <si>
    <t>F</t>
  </si>
  <si>
    <t>Focused</t>
  </si>
  <si>
    <t>S</t>
  </si>
  <si>
    <t>Sleepy</t>
  </si>
  <si>
    <t>M</t>
  </si>
  <si>
    <t>Missing You</t>
  </si>
  <si>
    <t>joy</t>
  </si>
  <si>
    <t>silas</t>
  </si>
  <si>
    <t>nova</t>
  </si>
  <si>
    <t>sun.max.fill</t>
  </si>
  <si>
    <t>cloud.fill</t>
  </si>
  <si>
    <t>cloud.sun.fill</t>
  </si>
  <si>
    <t>cloud.rain.fill</t>
  </si>
  <si>
    <t>cloud.snow.fill</t>
  </si>
  <si>
    <t>cloud.bolt.fill</t>
  </si>
  <si>
    <t>0x00</t>
  </si>
  <si>
    <t>Gentle</t>
  </si>
  <si>
    <t>Urgent</t>
  </si>
  <si>
    <t>harbor</t>
  </si>
  <si>
    <t>forest</t>
  </si>
  <si>
    <t>nightCity</t>
  </si>
  <si>
    <t>normal</t>
  </si>
  <si>
    <t>postcard</t>
  </si>
  <si>
    <t>close</t>
  </si>
  <si>
    <t>open</t>
  </si>
  <si>
    <t>query</t>
  </si>
  <si>
    <t>commit</t>
  </si>
  <si>
    <t>eraseExact</t>
  </si>
  <si>
    <t>eraseAll</t>
  </si>
  <si>
    <t>abort</t>
  </si>
  <si>
    <t>Complete</t>
  </si>
  <si>
    <t>Skip</t>
  </si>
  <si>
    <t>Refresh</t>
  </si>
  <si>
    <t>applied</t>
  </si>
  <si>
    <t>alreadyApplied</t>
  </si>
  <si>
    <t>taskNotFound</t>
  </si>
  <si>
    <t>invalidRequest</t>
  </si>
  <si>
    <t>supersededByApp</t>
  </si>
  <si>
    <t>0xFF</t>
  </si>
  <si>
    <t>internalError</t>
  </si>
  <si>
    <t>OK_START_UPGRADE</t>
  </si>
  <si>
    <t>ERR_NO_FILE</t>
  </si>
  <si>
    <t>ERR_FILE_SIZE</t>
  </si>
  <si>
    <t>ERR_SD_CARD</t>
  </si>
  <si>
    <t>ERR_OTA_FAILED</t>
  </si>
  <si>
    <t>ERR_UNKNOWN</t>
  </si>
  <si>
    <t>OK</t>
  </si>
  <si>
    <t>ERR_UNSUPPORTED</t>
  </si>
  <si>
    <t>ERR_BUSY</t>
  </si>
  <si>
    <t>ERR_WIFI_INIT_FAILED</t>
  </si>
  <si>
    <t>ERR_INVALID_COMMAND</t>
  </si>
  <si>
    <t>0x01 / 0x01</t>
  </si>
  <si>
    <t>staged</t>
  </si>
  <si>
    <t>0x02 / 0x02</t>
  </si>
  <si>
    <t>committed</t>
  </si>
  <si>
    <t>idle</t>
  </si>
  <si>
    <t>active</t>
  </si>
  <si>
    <t>endedPending</t>
  </si>
  <si>
    <t>StartSource 0x00</t>
  </si>
  <si>
    <t>appEstablished</t>
  </si>
  <si>
    <t>StartSource 0x01</t>
  </si>
  <si>
    <t>deviceOffline</t>
  </si>
  <si>
    <t>EndReason 0x00</t>
  </si>
  <si>
    <t>none</t>
  </si>
  <si>
    <t>EndReason 0x01</t>
  </si>
  <si>
    <t>complete</t>
  </si>
  <si>
    <t>EndReason 0x02</t>
  </si>
  <si>
    <t>skip</t>
  </si>
  <si>
    <t>EndReason 0x03</t>
  </si>
  <si>
    <t>appEnd</t>
  </si>
  <si>
    <t>Resolve 0x00</t>
  </si>
  <si>
    <t>accepted</t>
  </si>
  <si>
    <t>Resolve 0x01</t>
  </si>
  <si>
    <t>closed</t>
  </si>
  <si>
    <t>Resolve 0x02</t>
  </si>
  <si>
    <t>conflictResolved</t>
  </si>
  <si>
    <t>Resolve 0x03</t>
  </si>
  <si>
    <t>rejected</t>
  </si>
  <si>
    <t>Resolve 0xFF</t>
  </si>
  <si>
    <t>一、命令与 Opcode 总览</t>
  </si>
  <si>
    <t>Opcode</t>
  </si>
  <si>
    <t>作用</t>
  </si>
  <si>
    <t>BEGIN</t>
  </si>
  <si>
    <t>App → 设备</t>
  </si>
  <si>
    <t>开始离线数据同步事务</t>
  </si>
  <si>
    <t>COMMIT</t>
  </si>
  <si>
    <t>5</t>
  </si>
  <si>
    <t>原子启用已暂存的数据</t>
  </si>
  <si>
    <t>ABORT</t>
  </si>
  <si>
    <t>放弃当前暂存数据</t>
  </si>
  <si>
    <t>QUERY</t>
  </si>
  <si>
    <t>查询设备同步状态</t>
  </si>
  <si>
    <t>OP_ACK</t>
  </si>
  <si>
    <t>9</t>
  </si>
  <si>
    <t>确认离线操作已连续处理完成</t>
  </si>
  <si>
    <t>STATE</t>
  </si>
  <si>
    <t>设备 → App</t>
  </si>
  <si>
    <t>20</t>
  </si>
  <si>
    <t>返回当前数据、事务和操作队列状态</t>
  </si>
  <si>
    <t>RESULT</t>
  </si>
  <si>
    <t>OP_BATCH</t>
  </si>
  <si>
    <t>6 + Records[]</t>
  </si>
  <si>
    <t>批量补报离线操作</t>
  </si>
  <si>
    <t>FOCUS_RESOLVE</t>
  </si>
  <si>
    <t>33</t>
  </si>
  <si>
    <t>0x83</t>
  </si>
  <si>
    <t>FOCUS_STATE</t>
  </si>
  <si>
    <t>37+N</t>
  </si>
  <si>
    <t>二、BEGIN（Opcode 0x01）</t>
  </si>
  <si>
    <t>App → 设备｜简单包｜用于声明同步事务、版本、有效期和本次数据集范围</t>
  </si>
  <si>
    <t>上限/取值</t>
  </si>
  <si>
    <t>首字节</t>
  </si>
  <si>
    <t>SyncId</t>
  </si>
  <si>
    <t>UInt32 BE，非零</t>
  </si>
  <si>
    <t>本次同步事务 ID</t>
  </si>
  <si>
    <t>COMMIT / ABORT / RESULT 必须对应</t>
  </si>
  <si>
    <t>5..8</t>
  </si>
  <si>
    <t>本次完整数据版本</t>
  </si>
  <si>
    <t>提交后成为 ActiveRevision</t>
  </si>
  <si>
    <t>9..12</t>
  </si>
  <si>
    <t>ValidUntil</t>
  </si>
  <si>
    <t>Unix Timestamp，UInt32 BE</t>
  </si>
  <si>
    <t>数据有效期截止时间</t>
  </si>
  <si>
    <t>过期后停止触发新业务动作</t>
  </si>
  <si>
    <t>DatasetMask</t>
  </si>
  <si>
    <t>bit0..bit2</t>
  </si>
  <si>
    <t>本次包含的数据集合</t>
  </si>
  <si>
    <t>Payload 总长</t>
  </si>
  <si>
    <t>完整帧长</t>
  </si>
  <si>
    <t>17</t>
  </si>
  <si>
    <t>传输</t>
  </si>
  <si>
    <t>简单包：Type(1B)+Length(2B)+Payload</t>
  </si>
  <si>
    <t>三、COMMIT / ABORT（Opcode 0x02 / 0x03）</t>
  </si>
  <si>
    <t>App → 设备｜简单包｜COMMIT 原子切换数据；ABORT 放弃当前暂存数据</t>
  </si>
  <si>
    <t>0x02 / 0x03</t>
  </si>
  <si>
    <t>COMMIT / ABORT</t>
  </si>
  <si>
    <t>目标同步事务 ID</t>
  </si>
  <si>
    <t>不匹配时不得提交</t>
  </si>
  <si>
    <t>四、QUERY（Opcode 0x04）</t>
  </si>
  <si>
    <t>App → 设备｜简单包｜查询当前离线数据、事务与待补报操作状态</t>
  </si>
  <si>
    <t>无其他字段</t>
  </si>
  <si>
    <t>五、OP_ACK（Opcode 0x05）</t>
  </si>
  <si>
    <t>App → 设备｜简单包｜仅确认已连续成功处理到的最大 OperationID</t>
  </si>
  <si>
    <t>固定 0x05</t>
  </si>
  <si>
    <t>BootSessionId</t>
  </si>
  <si>
    <t>设备启动会话 ID</t>
  </si>
  <si>
    <t>必须匹配 OP_BATCH</t>
  </si>
  <si>
    <t>AckOperationID</t>
  </si>
  <si>
    <t>连续成功处理到的最大 OperationID</t>
  </si>
  <si>
    <t>设备据此删除已确认记录</t>
  </si>
  <si>
    <t>12</t>
  </si>
  <si>
    <t>六、STATE（Opcode 0x80）</t>
  </si>
  <si>
    <t>设备 → App｜简单事件包｜返回当前有效数据、事务、待补报队列和启动会话</t>
  </si>
  <si>
    <t>固定 0x80</t>
  </si>
  <si>
    <t>ActiveRevision</t>
  </si>
  <si>
    <t>当前有效数据版本</t>
  </si>
  <si>
    <t>无有效数据时按实现约定返回 0</t>
  </si>
  <si>
    <t>当前数据有效期</t>
  </si>
  <si>
    <t>到期需请求刷新</t>
  </si>
  <si>
    <t>当前有效数据集合</t>
  </si>
  <si>
    <t>其他位必须为 0</t>
  </si>
  <si>
    <t>10</t>
  </si>
  <si>
    <t>StateFlags</t>
  </si>
  <si>
    <t>bit0..bit4</t>
  </si>
  <si>
    <t>状态标志</t>
  </si>
  <si>
    <t>其他位保留</t>
  </si>
  <si>
    <t>11</t>
  </si>
  <si>
    <t>PendingCount</t>
  </si>
  <si>
    <t>0..255</t>
  </si>
  <si>
    <t>待补报离线操作数量（含 FocusStart / Complete / Skip）</t>
  </si>
  <si>
    <t>建议队列上限 64 条</t>
  </si>
  <si>
    <t>12..15</t>
  </si>
  <si>
    <t>本次设备启动会话 ID</t>
  </si>
  <si>
    <t>与 OperationID 共同构成幂等键</t>
  </si>
  <si>
    <t>16..19</t>
  </si>
  <si>
    <t>CurrentSyncId</t>
  </si>
  <si>
    <t>当前事务 ID</t>
  </si>
  <si>
    <t>无事务时为 0</t>
  </si>
  <si>
    <t>22</t>
  </si>
  <si>
    <t>简单事件包：Type(1B)+Length(1B)+Payload</t>
  </si>
  <si>
    <t>七、RESULT（Opcode 0x81）</t>
  </si>
  <si>
    <t>设备 → App｜简单事件包｜返回目标命令或事务的同步处理结果</t>
  </si>
  <si>
    <t>固定 0x81</t>
  </si>
  <si>
    <t>对应同步事务 ID</t>
  </si>
  <si>
    <t>TargetType</t>
  </si>
  <si>
    <t>0x02 / 0x03 / 0x10 / 0x25</t>
  </si>
  <si>
    <t>处理目标类型</t>
  </si>
  <si>
    <t>原命令或 OfflineSync</t>
  </si>
  <si>
    <t>6</t>
  </si>
  <si>
    <t>ResultCode</t>
  </si>
  <si>
    <t>见结果码表</t>
  </si>
  <si>
    <t>同步处理结果</t>
  </si>
  <si>
    <t>八、OP_BATCH（Opcode 0x82）与 Record</t>
  </si>
  <si>
    <t>设备 → App｜简单事件包｜按 OperationID 顺序批量补报断连期间产生的原事件</t>
  </si>
  <si>
    <t>固定 0x82</t>
  </si>
  <si>
    <t>幂等键组成部分</t>
  </si>
  <si>
    <t>本批 Record 数量</t>
  </si>
  <si>
    <t>接收端必须解析出 Count 条</t>
  </si>
  <si>
    <t>6..</t>
  </si>
  <si>
    <t>Count 条</t>
  </si>
  <si>
    <t>离线操作记录数组</t>
  </si>
  <si>
    <t>按 OperationID 递增顺序</t>
  </si>
  <si>
    <t>6 + Σ(6+N)</t>
  </si>
  <si>
    <t>2 + Payload</t>
  </si>
  <si>
    <t>简单事件包；需满足 1B Length 上限</t>
  </si>
  <si>
    <t>Record 偏移</t>
  </si>
  <si>
    <t>0..3</t>
  </si>
  <si>
    <t>UInt32 BE，递增</t>
  </si>
  <si>
    <t>离线操作 ID</t>
  </si>
  <si>
    <t>同一 BootSessionId 内唯一</t>
  </si>
  <si>
    <t>EventType</t>
  </si>
  <si>
    <t>0x10 / 0x11 / 0x12 等原事件 Type；专注操作使用 v2 payload</t>
  </si>
  <si>
    <t>原事件类型</t>
  </si>
  <si>
    <t>字段定义保持不变</t>
  </si>
  <si>
    <t>OriginalPayload 字节数</t>
  </si>
  <si>
    <t>必须与剩余字节一致</t>
  </si>
  <si>
    <t>OriginalPayload</t>
  </si>
  <si>
    <t>原事件 Payload</t>
  </si>
  <si>
    <t>原事件载荷</t>
  </si>
  <si>
    <t>专注操作字段定义见「专注重连-1.2」页</t>
  </si>
  <si>
    <t>Record 总长</t>
  </si>
  <si>
    <t>6 + N</t>
  </si>
  <si>
    <t>幂等键</t>
  </si>
  <si>
    <t>DeviceId + BootSessionId + OperationID</t>
  </si>
  <si>
    <t>ACK 规则</t>
  </si>
  <si>
    <t>仅 ACK 连续处理成功的最大 OperationID</t>
  </si>
  <si>
    <t>九、DatasetMask 位定义</t>
  </si>
  <si>
    <t>位</t>
  </si>
  <si>
    <t>掩码</t>
  </si>
  <si>
    <t>数据集</t>
  </si>
  <si>
    <t>对应命令</t>
  </si>
  <si>
    <t>约束</t>
  </si>
  <si>
    <t>bit0</t>
  </si>
  <si>
    <t>离线任务执行数据</t>
  </si>
  <si>
    <t>以 0x02 为业务准则</t>
  </si>
  <si>
    <t>bit1</t>
  </si>
  <si>
    <t>bit2</t>
  </si>
  <si>
    <t>当天展示与兜底数据</t>
  </si>
  <si>
    <t>仅在掩码包含时下发</t>
  </si>
  <si>
    <t>bit3..bit7</t>
  </si>
  <si>
    <t>保留</t>
  </si>
  <si>
    <t>不得使用</t>
  </si>
  <si>
    <t>必须为 0</t>
  </si>
  <si>
    <t>十、StateFlags 位定义</t>
  </si>
  <si>
    <t>置 1 含义</t>
  </si>
  <si>
    <t>App 行为</t>
  </si>
  <si>
    <t>DataValid</t>
  </si>
  <si>
    <t>当前离线数据有效</t>
  </si>
  <si>
    <t>可按 ValidUntil 使用</t>
  </si>
  <si>
    <t>到期后不再触发新业务动作</t>
  </si>
  <si>
    <t>TransactionOpen</t>
  </si>
  <si>
    <t>存在未完成事务</t>
  </si>
  <si>
    <t>依据 CurrentSyncId 处理</t>
  </si>
  <si>
    <t>断连或异常时可重新完整同步</t>
  </si>
  <si>
    <t>NeedsFullSync</t>
  </si>
  <si>
    <t>需要完整同步</t>
  </si>
  <si>
    <t>重新执行 BEGIN→数据集→COMMIT</t>
  </si>
  <si>
    <t>复位、掉电或 RAM 丢失后置位</t>
  </si>
  <si>
    <t>bit3</t>
  </si>
  <si>
    <t>OperationOverflow</t>
  </si>
  <si>
    <t>离线操作队列溢出</t>
  </si>
  <si>
    <t>优先拉取并进行业务补偿</t>
  </si>
  <si>
    <t>bit4</t>
  </si>
  <si>
    <t>FocusSyncPending</t>
  </si>
  <si>
    <t>存在未裁决专注快照或操作</t>
  </si>
  <si>
    <t>先处理 FOCUS_STATE/OP_BATCH</t>
  </si>
  <si>
    <t>裁决完成前不得下发普通 0x14 覆盖设备</t>
  </si>
  <si>
    <t>bit5..bit7</t>
  </si>
  <si>
    <t>忽略未知保留位</t>
  </si>
  <si>
    <t>发送端不得主动置位</t>
  </si>
  <si>
    <t>十一、ResultCode 建议值</t>
  </si>
  <si>
    <t>含义</t>
  </si>
  <si>
    <t>适用阶段</t>
  </si>
  <si>
    <t>App 处理</t>
  </si>
  <si>
    <t>ACCEPTED</t>
  </si>
  <si>
    <t>已接受请求</t>
  </si>
  <si>
    <t>STAGED</t>
  </si>
  <si>
    <t>数据已暂存</t>
  </si>
  <si>
    <t>0x02 / 0x03 / 0x10</t>
  </si>
  <si>
    <t>等待全部数据后 COMMIT</t>
  </si>
  <si>
    <t>COMMITTED</t>
  </si>
  <si>
    <t>事务已原子提交</t>
  </si>
  <si>
    <t>INVALID_STATE</t>
  </si>
  <si>
    <t>当前状态不允许</t>
  </si>
  <si>
    <t>任意</t>
  </si>
  <si>
    <t>查询 STATE 后重试或全量同步</t>
  </si>
  <si>
    <t>MISSING_DATASET</t>
  </si>
  <si>
    <t>缺少 DatasetMask 指定数据</t>
  </si>
  <si>
    <t>补齐数据或 ABORT 后重开事务</t>
  </si>
  <si>
    <t>EXPIRED</t>
  </si>
  <si>
    <t>数据有效期已过</t>
  </si>
  <si>
    <t>BEGIN / COMMIT</t>
  </si>
  <si>
    <t>使用新 ValidUntil 重建事务</t>
  </si>
  <si>
    <t>INVALID_PAYLOAD</t>
  </si>
  <si>
    <t>Payload 非法</t>
  </si>
  <si>
    <t>修正编码后重发</t>
  </si>
  <si>
    <t>BUSY</t>
  </si>
  <si>
    <t>设备忙</t>
  </si>
  <si>
    <t>稍后重试</t>
  </si>
  <si>
    <t>INTERNAL_ERROR</t>
  </si>
  <si>
    <t>设备内部错误</t>
  </si>
  <si>
    <t>记录并重新查询状态</t>
  </si>
  <si>
    <t>规则</t>
  </si>
  <si>
    <t>P1</t>
  </si>
  <si>
    <t>P2</t>
  </si>
  <si>
    <t>P3</t>
  </si>
  <si>
    <t>P4</t>
  </si>
  <si>
    <t>P5</t>
  </si>
  <si>
    <t>FocusStatus v2</t>
  </si>
  <si>
    <t>BootSessionId + StartOperationID</t>
  </si>
  <si>
    <t>FocusState</t>
  </si>
  <si>
    <t>0x00..0x02</t>
  </si>
  <si>
    <t>idle / active / endedPending</t>
  </si>
  <si>
    <t>Phase</t>
  </si>
  <si>
    <t>15</t>
  </si>
  <si>
    <t>Bottles</t>
  </si>
  <si>
    <t>21+N..24+N</t>
  </si>
  <si>
    <t>SegmentSeconds</t>
  </si>
  <si>
    <t>28+N</t>
  </si>
  <si>
    <t>TaskIdLength + TaskId</t>
  </si>
  <si>
    <t>20+N</t>
  </si>
  <si>
    <t>24+N</t>
  </si>
  <si>
    <t>ResolveID</t>
  </si>
  <si>
    <t>ResolveResult</t>
  </si>
  <si>
    <t>15..18</t>
  </si>
  <si>
    <t>19..22</t>
  </si>
  <si>
    <t>23..26</t>
  </si>
  <si>
    <t>27..30</t>
  </si>
  <si>
    <t>31</t>
  </si>
  <si>
    <t>32</t>
  </si>
  <si>
    <t>9..16</t>
  </si>
  <si>
    <t>18</t>
  </si>
  <si>
    <t>StartSource</t>
  </si>
  <si>
    <t>0x00/0x01</t>
  </si>
  <si>
    <t>appEstablished/deviceOffline</t>
  </si>
  <si>
    <t>19</t>
  </si>
  <si>
    <t>0..36</t>
  </si>
  <si>
    <t>20..19+N</t>
  </si>
  <si>
    <t>ASCII</t>
  </si>
  <si>
    <t>20+N..23+N</t>
  </si>
  <si>
    <t>24+N..27+N</t>
  </si>
  <si>
    <t>28+N..31+N</t>
  </si>
  <si>
    <t>32+N..35+N</t>
  </si>
  <si>
    <t>LastOperationID</t>
  </si>
  <si>
    <t>36+N</t>
  </si>
  <si>
    <t>EndReason</t>
  </si>
  <si>
    <t>0x00..0x03</t>
  </si>
  <si>
    <t>none/complete/skip/appEnd</t>
  </si>
  <si>
    <t>39+N</t>
  </si>
  <si>
    <t>Notify Enabled</t>
  </si>
  <si>
    <t>2</t>
  </si>
  <si>
    <t>3</t>
  </si>
  <si>
    <t>PendingCount&gt;0</t>
  </si>
  <si>
    <t>App end</t>
  </si>
  <si>
    <t>DeviceId+BootSessionId+OperationID</t>
  </si>
  <si>
    <t>FocusSessionId=BootSessionId+StartOperationID</t>
  </si>
  <si>
    <t>ACK</t>
  </si>
  <si>
    <t>依据《Kirole BLE 通信协议规格文档 2.10.1》及《Kirole 设备离线运行协议改动方案》整理 · 2026-08-18 · 所有大小单位均为字节（Byte） · Ver:1.3.0 · 保留 Ver 1.2.0 专注重连并新增完整 Schedule v2</t>
  </si>
  <si>
    <t>CRC16-CCITT-FALSE：多项式 0x1021、初值 0xFFFF、XOR out 0x0000、Reflect in/out false。适用于 0x03 / 0x10 / 0x11 / 0x15 / 0x16 / 0x1B 等大 payload；接收端按 MessageId 分槽重组，App 不发送分包级 ACK。</t>
  </si>
  <si>
    <t>App → Device 命令 23 个（含安全帧） · Device → App 事件 24 个 · Ver 1.2.0 专注重连扩展保留 · Ver 1.3.0 新增完整 Schedule v2</t>
  </si>
  <si>
    <t>完整 Schedule v2 日程快照；包含日期、标题、描述、分类、结束时间与辅助文案</t>
  </si>
  <si>
    <t>§4.4  Schedule（0x03，v2 / Ver 1.3.0）</t>
  </si>
  <si>
    <t>方向：App → Device（FFE1 Write）｜传输：简单包或现有 11B 头分包｜用途：完整日程快照（最多 8 个事件）｜旧版 EventCount + Title + StartTime 格式严格拒绝；明文（secure 模式经 0x7E 封装）</t>
  </si>
  <si>
    <t>Schedule v2 子版本；缺失或不是 0x02 时拒绝整包</t>
  </si>
  <si>
    <t>Year + Month + Day + EventCount</t>
  </si>
  <si>
    <t>1 / 1 / 1 / 1</t>
  </si>
  <si>
    <t>Year=0–99；Month=1–12；Day=有效日期；EventCount=0–8</t>
  </si>
  <si>
    <t>Year 保存公历年份减 2000；日期是本次完整日程快照的归属日</t>
  </si>
  <si>
    <t>5+</t>
  </si>
  <si>
    <t>Time/EndTime=0 或 5；Title≤40；Description≤120；SupportText≤120</t>
  </si>
  <si>
    <t>见「子结构与记录」及「Schedule-1.3」</t>
  </si>
  <si>
    <t>每条依次为 Time + Title + Description + Category + EndTime + SupportText；Description 必须非空，Category=0x00–0x06</t>
  </si>
  <si>
    <t>5 + Σ(6 + T + N + D + E + S)；T/E 为时间字节数，N/D/S 为标题、描述、辅助文案字节数</t>
  </si>
  <si>
    <t>简单包：3 + Payload；分包：每片 11 + 本片 Payload</t>
  </si>
  <si>
    <t>完整 Schedule Payload 可直接用简单包发送，或按现有 11B 头分包；设备重组完成后统一校验并原子应用</t>
  </si>
  <si>
    <t>§4.4  Schedule v2 · Event 条目（0x03，Ver 1.3.0）（子结构）</t>
  </si>
  <si>
    <t>Schedule v2（0x03）内部结构：EventCount 之后顺序编码；每条事件固定按 Time、Title、Description、Category、EndTime、SupportText 排列</t>
  </si>
  <si>
    <t>0+</t>
  </si>
  <si>
    <t>Time + Title</t>
  </si>
  <si>
    <t>(1+T) + (1+N)</t>
  </si>
  <si>
    <t>Time 0/5；Title 1–40</t>
  </si>
  <si>
    <t>长度前缀 UTF-8 字符串</t>
  </si>
  <si>
    <t>Time 为空表示全天事件，否则必须为 HH:mm；Title 必须非空</t>
  </si>
  <si>
    <t>Description + Category</t>
  </si>
  <si>
    <t>(1+D) + 1</t>
  </si>
  <si>
    <t>Description 1–120；Category 1</t>
  </si>
  <si>
    <t>Description 非空；Category=0x00–0x06</t>
  </si>
  <si>
    <t>描述必须能独立说明日程内容，禁止只发送标题</t>
  </si>
  <si>
    <t>EndTime + SupportText</t>
  </si>
  <si>
    <t>(1+E) + (1+S)</t>
  </si>
  <si>
    <t>EndTime 0/5；SupportText 0–120</t>
  </si>
  <si>
    <t>定时事件 EndTime 必须晚于 Time；全天事件两者均空；SupportText 可空</t>
  </si>
  <si>
    <t>Event 总长（字节）</t>
  </si>
  <si>
    <t>每条 = 6 + T + N + D + E + S；Schedule Payload = 5 + Σ(每条 Event)</t>
  </si>
  <si>
    <t>完整独立 Schedule v2 日程快照</t>
  </si>
  <si>
    <t>必须使用 Schedule v2；与 DayPack 同批提交时先应用 DayPack、再应用 Schedule，Schedule 对日程可见字段拥有最终优先级</t>
  </si>
  <si>
    <t>Schedule v2（0x03）完整日程协议 · Ver 1.3.0</t>
  </si>
  <si>
    <t>App → Device｜Big Endian｜简单包或现有 11 字节分包｜完整快照原子应用｜所有长度均按 UTF-8 字节数计算</t>
  </si>
  <si>
    <t>一、Payload 字段偏移</t>
  </si>
  <si>
    <t>取值 / 上限</t>
  </si>
  <si>
    <t>App 发送要求</t>
  </si>
  <si>
    <t>设备校验与说明</t>
  </si>
  <si>
    <t>必须显式发送</t>
  </si>
  <si>
    <t>不是 0x02 或缺失时严格拒绝整包</t>
  </si>
  <si>
    <t>0–99</t>
  </si>
  <si>
    <t>公历年份减 2000</t>
  </si>
  <si>
    <t>与 Month、Day 组成有效日期</t>
  </si>
  <si>
    <t>发送日程归属月份</t>
  </si>
  <si>
    <t>超范围拒绝</t>
  </si>
  <si>
    <t>有效日</t>
  </si>
  <si>
    <t>发送日程归属日期</t>
  </si>
  <si>
    <t>必须与 Year、Month 组成有效日期</t>
  </si>
  <si>
    <t>0–8</t>
  </si>
  <si>
    <t>后续 Event 数量必须一致</t>
  </si>
  <si>
    <t>数量或剩余字节不一致时拒绝整包</t>
  </si>
  <si>
    <t>连续编码 EventCount 条记录</t>
  </si>
  <si>
    <t>完整解析成功后一次性应用，不部分更新</t>
  </si>
  <si>
    <t>二、Event 字段顺序（固定为六字段）</t>
  </si>
  <si>
    <t>顺序</t>
  </si>
  <si>
    <t>编码</t>
  </si>
  <si>
    <t>长度 / 枚举</t>
  </si>
  <si>
    <t>是否可空</t>
  </si>
  <si>
    <t>Length(1) + UTF-8(T)</t>
  </si>
  <si>
    <t>T=0 或 5</t>
  </si>
  <si>
    <t>全天事件可空</t>
  </si>
  <si>
    <t>非空时必须为 HH:mm</t>
  </si>
  <si>
    <t>Length(1) + UTF-8(N)</t>
  </si>
  <si>
    <t>1≤N≤40</t>
  </si>
  <si>
    <t>不可空</t>
  </si>
  <si>
    <t>日程标题</t>
  </si>
  <si>
    <t>Length(1) + UTF-8(D)</t>
  </si>
  <si>
    <t>1≤D≤120</t>
  </si>
  <si>
    <t>必须提供可见日程描述，禁止只有标题</t>
  </si>
  <si>
    <t>uint8</t>
  </si>
  <si>
    <t>超出枚举范围拒绝整包</t>
  </si>
  <si>
    <t>Length(1) + UTF-8(E)</t>
  </si>
  <si>
    <t>E=0 或 5</t>
  </si>
  <si>
    <t>定时事件必须为 HH:mm 且晚于 Time；不支持跨午夜</t>
  </si>
  <si>
    <t>Length(1) + UTF-8(S)</t>
  </si>
  <si>
    <t>0≤S≤120</t>
  </si>
  <si>
    <t>可空</t>
  </si>
  <si>
    <t>辅助文案；空字符串编码为 0x00</t>
  </si>
  <si>
    <t>三、长度、时间与兼容规则</t>
  </si>
  <si>
    <t>Schedule Payload</t>
  </si>
  <si>
    <t>5 + Σ(6 + T + N + D + E + S)</t>
  </si>
  <si>
    <t>简单包完整帧</t>
  </si>
  <si>
    <t>Type(1) + Length(2, BE) + Payload，即 3 + Payload</t>
  </si>
  <si>
    <t>定时事件</t>
  </si>
  <si>
    <t>Time 与 EndTime 均为 5 字节 HH:mm，且结束时间晚于开始时间</t>
  </si>
  <si>
    <t>全天事件</t>
  </si>
  <si>
    <t>TimeLength=0 且 EndTimeLength=0；不得只将其中一个置空</t>
  </si>
  <si>
    <t>跨午夜</t>
  </si>
  <si>
    <t>当前版本不支持；App 必须拆成两个日期内事件或不发送</t>
  </si>
  <si>
    <t>旧版简化 Schedule</t>
  </si>
  <si>
    <t>EventCount + Title + StartTime 格式严格拒绝，不做猜测或降级解析</t>
  </si>
  <si>
    <t>字符编码</t>
  </si>
  <si>
    <t>所有字符串均为 Length(1B) + UTF-8；Length 是字节数，不是字符数</t>
  </si>
  <si>
    <t>四、Schedule 与 DayPack 比较及覆盖顺序</t>
  </si>
  <si>
    <t>条件 / 顺序</t>
  </si>
  <si>
    <t>比较对象</t>
  </si>
  <si>
    <t>设备动作</t>
  </si>
  <si>
    <t>日程显示</t>
  </si>
  <si>
    <t>DayPack 其他字段</t>
  </si>
  <si>
    <t>App 约束</t>
  </si>
  <si>
    <t>可见字段完全相同</t>
  </si>
  <si>
    <t>日期 + 每条 Time/Title/Description/Category/EndTime/SupportText，且顺序一致</t>
  </si>
  <si>
    <t>不替换、不触发刷新</t>
  </si>
  <si>
    <t>保持当前内容</t>
  </si>
  <si>
    <t>保持不变</t>
  </si>
  <si>
    <t>可不重复下发；若下发，结果仍应幂等</t>
  </si>
  <si>
    <t>任一可见字段不同</t>
  </si>
  <si>
    <t>字段值、事件数或事件顺序任一不同</t>
  </si>
  <si>
    <t>完整 Schedule 原子替换日程与日期字段</t>
  </si>
  <si>
    <t>显示 Schedule 的完整描述</t>
  </si>
  <si>
    <t>PetDialogue、TopTasks、SettlementData、DaySummary、FirstUp 等保持不变</t>
  </si>
  <si>
    <t>必须发送完整快照，不发送局部补丁</t>
  </si>
  <si>
    <t>普通连接内顺序</t>
  </si>
  <si>
    <t>DayPack 与 Schedule 均到达</t>
  </si>
  <si>
    <t>先应用到达的 DayPack；Schedule 校验成功后按上述规则比较</t>
  </si>
  <si>
    <t>Schedule 对日程字段最终优先</t>
  </si>
  <si>
    <t>DayPack 非日程字段继续生效</t>
  </si>
  <si>
    <t>不要用后到的旧 DayPack 覆盖已确认的 Schedule</t>
  </si>
  <si>
    <t>OfflineSync 同批</t>
  </si>
  <si>
    <t>DatasetMask 同时含 bit1 Schedule 与 bit2 DayPack</t>
  </si>
  <si>
    <t>固定先应用 DayPack，再应用 Schedule</t>
  </si>
  <si>
    <t>Schedule 对日程可见字段最终优先</t>
  </si>
  <si>
    <t>DayPack 非日程字段保持</t>
  </si>
  <si>
    <t>批次提交前完成两者校验</t>
  </si>
  <si>
    <t>五、App 发送与分包要求</t>
  </si>
  <si>
    <t>完整性</t>
  </si>
  <si>
    <t>每次发送完整日期快照；EventCount、字段长度与剩余字节必须精确一致</t>
  </si>
  <si>
    <t>小 Payload 使用 Type(0x03) + Length(2B, BE) + 完整 Payload</t>
  </si>
  <si>
    <t>11B 分包</t>
  </si>
  <si>
    <t>大 Payload 可使用 Type + MessageId(2) + Seq(2) + Total(2) + PayloadLen(2) + CRC16(2) + 片段 Payload</t>
  </si>
  <si>
    <t>分包重组</t>
  </si>
  <si>
    <t>同一 MessageId；Seq 从 0 开始；重发从 Seq=0 整条重发；设备重组完成后再解析 Schedule v2</t>
  </si>
  <si>
    <t>CRC</t>
  </si>
  <si>
    <t>每片 Payload 使用 CRC16-CCITT-FALSE：poly 0x1021、init 0xFFFF、xorout 0x0000、reflect false</t>
  </si>
  <si>
    <t>失败处理</t>
  </si>
  <si>
    <t>任一字段、日期、枚举、时间、长度、CRC 或分包关系非法时拒绝整条消息，并保留现有日程</t>
  </si>
  <si>
    <t>六、十六进制示例（均为简单包完整帧）</t>
  </si>
  <si>
    <t>示例</t>
  </si>
  <si>
    <t>内容</t>
  </si>
  <si>
    <t>零事件</t>
  </si>
  <si>
    <t>03 00 05 02 1A 08 12 00</t>
  </si>
  <si>
    <t>零事件解码</t>
  </si>
  <si>
    <t>Type=0x03；PayloadLength=5；SubVersion=0x02；日期=2026-08-18；EventCount=0</t>
  </si>
  <si>
    <t>单事件</t>
  </si>
  <si>
    <t>03 00 34 02 1A 08 12 01 05 30 39 3A 30 30 07 53 74 61 6E 64 75 70 0A 44 61 69 6C 79 20 73 79 6E 63 02 05 30 39 3A 33 30 0E 53 68 61 72 65 20 62 6C 6F 63 6B 65 72 73</t>
  </si>
  <si>
    <t>单事件解码</t>
  </si>
  <si>
    <t>09:00｜Standup｜Daily sync｜Category=0x02｜09:30｜Share blockers；PayloadLength=52(0x0034)</t>
  </si>
  <si>
    <t>七、验收规则</t>
  </si>
  <si>
    <t>零事件与单事件示例可按字段边界完整解析，且解析后无剩余字节</t>
  </si>
  <si>
    <t>Description 为空、Title 为空、Category&gt;0x06、非法日期/时间或定时事件 EndTime≤Time 时整包拒绝</t>
  </si>
  <si>
    <t>旧版简化 Schedule 无 SubVersion=0x02，必须严格拒绝且不得改变当前显示</t>
  </si>
  <si>
    <t>相同 Schedule 与 DayPack 不替换、不刷新；任一可见字段不同则显示完整 Schedule 描述</t>
  </si>
  <si>
    <t>Schedule 替换日程后，DayPack 的 PetDialogue、TopTasks、SettlementData、DaySummary、FirstUp 等保持不变</t>
  </si>
  <si>
    <t>简单包与 11B 分包重组后的业务结果一致；失败时保留原有日程</t>
  </si>
  <si>
    <r>
      <rPr>
        <b/>
        <sz val="11"/>
        <rFont val="Carlito"/>
      </rPr>
      <t>一、同步原则</t>
    </r>
  </si>
  <si>
    <r>
      <rPr>
        <sz val="11"/>
        <rFont val="Carlito"/>
      </rPr>
      <t>规则</t>
    </r>
  </si>
  <si>
    <r>
      <rPr>
        <sz val="11"/>
        <rFont val="Carlito"/>
      </rPr>
      <t>触发</t>
    </r>
  </si>
  <si>
    <r>
      <rPr>
        <sz val="11"/>
        <rFont val="Carlito"/>
      </rPr>
      <t>设备行为</t>
    </r>
  </si>
  <si>
    <r>
      <t xml:space="preserve">App </t>
    </r>
    <r>
      <rPr>
        <sz val="11"/>
        <rFont val="Carlito"/>
      </rPr>
      <t>行为</t>
    </r>
  </si>
  <si>
    <r>
      <rPr>
        <sz val="11"/>
        <rFont val="Carlito"/>
      </rPr>
      <t>时间规则</t>
    </r>
  </si>
  <si>
    <r>
      <rPr>
        <sz val="11"/>
        <rFont val="Carlito"/>
      </rPr>
      <t>备注</t>
    </r>
  </si>
  <si>
    <r>
      <t xml:space="preserve">BLE </t>
    </r>
    <r>
      <rPr>
        <sz val="11"/>
        <rFont val="Carlito"/>
      </rPr>
      <t>断连</t>
    </r>
  </si>
  <si>
    <r>
      <rPr>
        <sz val="11"/>
        <rFont val="Carlito"/>
      </rPr>
      <t>仅本地有效按键可改变设备专注状态；立即生效</t>
    </r>
  </si>
  <si>
    <r>
      <rPr>
        <sz val="11"/>
        <rFont val="Carlito"/>
      </rPr>
      <t>不得用旧缓存状态否定设备操作</t>
    </r>
  </si>
  <si>
    <r>
      <rPr>
        <sz val="11"/>
        <rFont val="Carlito"/>
      </rPr>
      <t>记录秒级时间</t>
    </r>
  </si>
  <si>
    <r>
      <rPr>
        <sz val="11"/>
        <rFont val="Carlito"/>
      </rPr>
      <t>在线行为保持现有流程</t>
    </r>
  </si>
  <si>
    <r>
      <rPr>
        <sz val="11"/>
        <rFont val="Carlito"/>
      </rPr>
      <t>离线进入</t>
    </r>
  </si>
  <si>
    <r>
      <rPr>
        <sz val="11"/>
        <rFont val="Carlito"/>
      </rPr>
      <t>生成</t>
    </r>
    <r>
      <rPr>
        <sz val="11"/>
        <rFont val="Carlito"/>
        <family val="2"/>
      </rPr>
      <t xml:space="preserve"> FocusSessionId</t>
    </r>
    <r>
      <rPr>
        <sz val="11"/>
        <rFont val="Carlito"/>
      </rPr>
      <t>，进入专注页并排队</t>
    </r>
    <r>
      <rPr>
        <sz val="11"/>
        <rFont val="Carlito"/>
        <family val="2"/>
      </rPr>
      <t xml:space="preserve"> FocusStart</t>
    </r>
  </si>
  <si>
    <r>
      <rPr>
        <sz val="11"/>
        <rFont val="Carlito"/>
      </rPr>
      <t>重连后接受设备会话并开启挡板</t>
    </r>
  </si>
  <si>
    <r>
      <rPr>
        <sz val="11"/>
        <rFont val="Carlito"/>
      </rPr>
      <t>设备开始时间优先</t>
    </r>
  </si>
  <si>
    <r>
      <rPr>
        <sz val="11"/>
        <rFont val="Carlito"/>
      </rPr>
      <t>不等待</t>
    </r>
    <r>
      <rPr>
        <sz val="11"/>
        <rFont val="Carlito"/>
        <family val="2"/>
      </rPr>
      <t xml:space="preserve"> TaskInPage/ACK</t>
    </r>
  </si>
  <si>
    <r>
      <rPr>
        <sz val="11"/>
        <rFont val="Carlito"/>
      </rPr>
      <t>线上进入后断连</t>
    </r>
  </si>
  <si>
    <r>
      <rPr>
        <sz val="11"/>
        <rFont val="Carlito"/>
      </rPr>
      <t>保留原</t>
    </r>
    <r>
      <rPr>
        <sz val="11"/>
        <rFont val="Carlito"/>
        <family val="2"/>
      </rPr>
      <t xml:space="preserve"> FocusSessionId </t>
    </r>
    <r>
      <rPr>
        <sz val="11"/>
        <rFont val="Carlito"/>
      </rPr>
      <t>并继续本地计时</t>
    </r>
  </si>
  <si>
    <r>
      <rPr>
        <sz val="11"/>
        <rFont val="Carlito"/>
      </rPr>
      <t>保留原会话，不重复创建</t>
    </r>
  </si>
  <si>
    <r>
      <t xml:space="preserve">App </t>
    </r>
    <r>
      <rPr>
        <sz val="11"/>
        <rFont val="Carlito"/>
      </rPr>
      <t>原开始时间优先</t>
    </r>
  </si>
  <si>
    <r>
      <rPr>
        <sz val="11"/>
        <rFont val="Carlito"/>
      </rPr>
      <t>预计误差</t>
    </r>
    <r>
      <rPr>
        <sz val="11"/>
        <rFont val="Carlito"/>
        <family val="2"/>
      </rPr>
      <t xml:space="preserve"> </t>
    </r>
    <r>
      <rPr>
        <sz val="11"/>
        <rFont val="Carlito"/>
      </rPr>
      <t>≤</t>
    </r>
    <r>
      <rPr>
        <sz val="11"/>
        <rFont val="Carlito"/>
        <family val="2"/>
      </rPr>
      <t xml:space="preserve">120 </t>
    </r>
    <r>
      <rPr>
        <sz val="11"/>
        <rFont val="Carlito"/>
      </rPr>
      <t>秒</t>
    </r>
  </si>
  <si>
    <r>
      <rPr>
        <sz val="11"/>
        <rFont val="Carlito"/>
      </rPr>
      <t>离线退出</t>
    </r>
  </si>
  <si>
    <r>
      <rPr>
        <sz val="11"/>
        <rFont val="Carlito"/>
      </rPr>
      <t>立即停止计时、退出页面并排队</t>
    </r>
    <r>
      <rPr>
        <sz val="11"/>
        <rFont val="Carlito"/>
        <family val="2"/>
      </rPr>
      <t xml:space="preserve"> Complete/Skip</t>
    </r>
  </si>
  <si>
    <r>
      <rPr>
        <sz val="11"/>
        <rFont val="Carlito"/>
      </rPr>
      <t>重连后撤挡板并只结算一次</t>
    </r>
  </si>
  <si>
    <r>
      <rPr>
        <sz val="11"/>
        <rFont val="Carlito"/>
      </rPr>
      <t>结束优先</t>
    </r>
  </si>
  <si>
    <r>
      <rPr>
        <sz val="11"/>
        <rFont val="Carlito"/>
      </rPr>
      <t>不等待</t>
    </r>
    <r>
      <rPr>
        <sz val="11"/>
        <rFont val="Carlito"/>
        <family val="2"/>
      </rPr>
      <t xml:space="preserve"> 0x1B/</t>
    </r>
    <r>
      <rPr>
        <sz val="11"/>
        <rFont val="Carlito"/>
      </rPr>
      <t>超时</t>
    </r>
  </si>
  <si>
    <r>
      <rPr>
        <sz val="11"/>
        <rFont val="Carlito"/>
      </rPr>
      <t>重连</t>
    </r>
  </si>
  <si>
    <r>
      <rPr>
        <sz val="11"/>
        <rFont val="Carlito"/>
      </rPr>
      <t>先发</t>
    </r>
    <r>
      <rPr>
        <sz val="11"/>
        <rFont val="Carlito"/>
        <family val="2"/>
      </rPr>
      <t xml:space="preserve"> FOCUS_STATE </t>
    </r>
    <r>
      <rPr>
        <sz val="11"/>
        <rFont val="Carlito"/>
      </rPr>
      <t>和</t>
    </r>
    <r>
      <rPr>
        <sz val="11"/>
        <rFont val="Carlito"/>
        <family val="2"/>
      </rPr>
      <t xml:space="preserve"> OP_BATCH</t>
    </r>
  </si>
  <si>
    <r>
      <rPr>
        <sz val="11"/>
        <rFont val="Carlito"/>
      </rPr>
      <t>先裁决再发普通</t>
    </r>
    <r>
      <rPr>
        <sz val="11"/>
        <rFont val="Carlito"/>
        <family val="2"/>
      </rPr>
      <t xml:space="preserve"> 0x14</t>
    </r>
  </si>
  <si>
    <r>
      <t xml:space="preserve">Phase/Bottles </t>
    </r>
    <r>
      <rPr>
        <sz val="11"/>
        <rFont val="Carlito"/>
      </rPr>
      <t>按权威时长派生</t>
    </r>
  </si>
  <si>
    <r>
      <rPr>
        <sz val="11"/>
        <rFont val="Carlito"/>
      </rPr>
      <t>禁止双方数值相加</t>
    </r>
  </si>
  <si>
    <r>
      <rPr>
        <sz val="11"/>
        <rFont val="Carlito"/>
      </rPr>
      <t>名称</t>
    </r>
  </si>
  <si>
    <r>
      <rPr>
        <sz val="11"/>
        <rFont val="Carlito"/>
      </rPr>
      <t>方向</t>
    </r>
  </si>
  <si>
    <r>
      <t xml:space="preserve">Payload </t>
    </r>
    <r>
      <rPr>
        <sz val="11"/>
        <rFont val="Carlito"/>
      </rPr>
      <t>长度</t>
    </r>
  </si>
  <si>
    <r>
      <rPr>
        <sz val="11"/>
        <rFont val="Carlito"/>
      </rPr>
      <t>作用</t>
    </r>
  </si>
  <si>
    <r>
      <t xml:space="preserve">App </t>
    </r>
    <r>
      <rPr>
        <sz val="11"/>
        <rFont val="Carlito"/>
      </rPr>
      <t>→</t>
    </r>
    <r>
      <rPr>
        <sz val="11"/>
        <rFont val="Carlito"/>
        <family val="2"/>
      </rPr>
      <t xml:space="preserve"> Device</t>
    </r>
  </si>
  <si>
    <r>
      <rPr>
        <sz val="11"/>
        <rFont val="Carlito"/>
      </rPr>
      <t>确认离线操作处理完成并下发权威专注裁决</t>
    </r>
  </si>
  <si>
    <r>
      <t xml:space="preserve">Device </t>
    </r>
    <r>
      <rPr>
        <sz val="11"/>
        <rFont val="Carlito"/>
      </rPr>
      <t>→</t>
    </r>
    <r>
      <rPr>
        <sz val="11"/>
        <rFont val="Carlito"/>
        <family val="2"/>
      </rPr>
      <t xml:space="preserve"> App</t>
    </r>
  </si>
  <si>
    <r>
      <rPr>
        <sz val="11"/>
        <rFont val="Carlito"/>
      </rPr>
      <t>重连时主动上报当前专注快照；必须早于普通</t>
    </r>
    <r>
      <rPr>
        <sz val="11"/>
        <rFont val="Carlito"/>
        <family val="2"/>
      </rPr>
      <t xml:space="preserve"> 0x14</t>
    </r>
  </si>
  <si>
    <r>
      <rPr>
        <b/>
        <sz val="11"/>
        <rFont val="Carlito"/>
      </rPr>
      <t>三、</t>
    </r>
    <r>
      <rPr>
        <b/>
        <sz val="11"/>
        <rFont val="Carlito"/>
        <family val="2"/>
      </rPr>
      <t>FocusStatus</t>
    </r>
    <r>
      <rPr>
        <b/>
        <sz val="11"/>
        <rFont val="Carlito"/>
      </rPr>
      <t>（</t>
    </r>
    <r>
      <rPr>
        <b/>
        <sz val="11"/>
        <rFont val="Carlito"/>
        <family val="2"/>
      </rPr>
      <t>0x14</t>
    </r>
    <r>
      <rPr>
        <b/>
        <sz val="11"/>
        <rFont val="Carlito"/>
      </rPr>
      <t>，</t>
    </r>
    <r>
      <rPr>
        <b/>
        <sz val="11"/>
        <rFont val="Carlito"/>
        <family val="2"/>
      </rPr>
      <t>SubVersion 0x02</t>
    </r>
    <r>
      <rPr>
        <b/>
        <sz val="11"/>
        <rFont val="Carlito"/>
      </rPr>
      <t>）</t>
    </r>
  </si>
  <si>
    <r>
      <t xml:space="preserve">App </t>
    </r>
    <r>
      <rPr>
        <i/>
        <sz val="11"/>
        <rFont val="Carlito"/>
      </rPr>
      <t>→</t>
    </r>
    <r>
      <rPr>
        <i/>
        <sz val="11"/>
        <rFont val="Carlito"/>
        <family val="2"/>
      </rPr>
      <t xml:space="preserve"> Device</t>
    </r>
    <r>
      <rPr>
        <i/>
        <sz val="11"/>
        <rFont val="Carlito"/>
      </rPr>
      <t>｜同步完成后的权威状态心跳；</t>
    </r>
    <r>
      <rPr>
        <i/>
        <sz val="11"/>
        <rFont val="Carlito"/>
        <family val="2"/>
      </rPr>
      <t xml:space="preserve">FocusRevision </t>
    </r>
    <r>
      <rPr>
        <i/>
        <sz val="11"/>
        <rFont val="Carlito"/>
      </rPr>
      <t>旧于设备已应用版本时拒绝</t>
    </r>
  </si>
  <si>
    <r>
      <rPr>
        <sz val="11"/>
        <rFont val="Carlito"/>
      </rPr>
      <t>偏移</t>
    </r>
  </si>
  <si>
    <r>
      <rPr>
        <sz val="11"/>
        <rFont val="Carlito"/>
      </rPr>
      <t>字段</t>
    </r>
  </si>
  <si>
    <r>
      <rPr>
        <sz val="11"/>
        <rFont val="Carlito"/>
      </rPr>
      <t>大小</t>
    </r>
  </si>
  <si>
    <r>
      <rPr>
        <sz val="11"/>
        <rFont val="Carlito"/>
      </rPr>
      <t>取值</t>
    </r>
  </si>
  <si>
    <r>
      <rPr>
        <sz val="11"/>
        <rFont val="Carlito"/>
      </rPr>
      <t>说明</t>
    </r>
  </si>
  <si>
    <r>
      <rPr>
        <sz val="11"/>
        <rFont val="Carlito"/>
      </rPr>
      <t>约束</t>
    </r>
  </si>
  <si>
    <r>
      <rPr>
        <sz val="11"/>
        <rFont val="Carlito"/>
      </rPr>
      <t>固定</t>
    </r>
    <r>
      <rPr>
        <sz val="11"/>
        <rFont val="Carlito"/>
        <family val="2"/>
      </rPr>
      <t xml:space="preserve"> 0x02</t>
    </r>
  </si>
  <si>
    <r>
      <rPr>
        <sz val="11"/>
        <rFont val="Carlito"/>
      </rPr>
      <t>旧固件继续使用旧版结构</t>
    </r>
  </si>
  <si>
    <r>
      <t xml:space="preserve">App </t>
    </r>
    <r>
      <rPr>
        <sz val="11"/>
        <rFont val="Carlito"/>
      </rPr>
      <t>权威专注版本</t>
    </r>
  </si>
  <si>
    <r>
      <rPr>
        <sz val="11"/>
        <rFont val="Carlito"/>
      </rPr>
      <t>状态变化严格递增</t>
    </r>
  </si>
  <si>
    <r>
      <rPr>
        <sz val="11"/>
        <rFont val="Carlito"/>
      </rPr>
      <t>原始</t>
    </r>
    <r>
      <rPr>
        <sz val="11"/>
        <rFont val="Carlito"/>
        <family val="2"/>
      </rPr>
      <t xml:space="preserve"> 8B</t>
    </r>
  </si>
  <si>
    <r>
      <t xml:space="preserve">idle </t>
    </r>
    <r>
      <rPr>
        <sz val="11"/>
        <rFont val="Carlito"/>
      </rPr>
      <t>时全</t>
    </r>
    <r>
      <rPr>
        <sz val="11"/>
        <rFont val="Carlito"/>
        <family val="2"/>
      </rPr>
      <t xml:space="preserve"> 0</t>
    </r>
  </si>
  <si>
    <r>
      <rPr>
        <sz val="11"/>
        <rFont val="Carlito"/>
      </rPr>
      <t>见枚举页</t>
    </r>
  </si>
  <si>
    <r>
      <rPr>
        <sz val="11"/>
        <rFont val="Carlito"/>
      </rPr>
      <t>显示阶段</t>
    </r>
  </si>
  <si>
    <r>
      <rPr>
        <sz val="11"/>
        <rFont val="Carlito"/>
      </rPr>
      <t>按权威</t>
    </r>
    <r>
      <rPr>
        <sz val="11"/>
        <rFont val="Carlito"/>
        <family val="2"/>
      </rPr>
      <t xml:space="preserve"> elapsed </t>
    </r>
    <r>
      <rPr>
        <sz val="11"/>
        <rFont val="Carlito"/>
      </rPr>
      <t>派生</t>
    </r>
  </si>
  <si>
    <r>
      <rPr>
        <sz val="11"/>
        <rFont val="Carlito"/>
      </rPr>
      <t>本会话能量瓶显示值</t>
    </r>
  </si>
  <si>
    <r>
      <rPr>
        <sz val="11"/>
        <rFont val="Carlito"/>
      </rPr>
      <t>不得把双方瓶子相加</t>
    </r>
  </si>
  <si>
    <r>
      <rPr>
        <sz val="11"/>
        <rFont val="Carlito"/>
      </rPr>
      <t>权威累计秒数</t>
    </r>
  </si>
  <si>
    <r>
      <rPr>
        <sz val="11"/>
        <rFont val="Carlito"/>
      </rPr>
      <t>替代分钟级同步</t>
    </r>
  </si>
  <si>
    <r>
      <t>N</t>
    </r>
    <r>
      <rPr>
        <sz val="11"/>
        <rFont val="Carlito"/>
      </rPr>
      <t>≤</t>
    </r>
    <r>
      <rPr>
        <sz val="11"/>
        <rFont val="Carlito"/>
        <family val="2"/>
      </rPr>
      <t>40</t>
    </r>
  </si>
  <si>
    <r>
      <rPr>
        <sz val="11"/>
        <rFont val="Carlito"/>
      </rPr>
      <t>长度前缀任务标题</t>
    </r>
  </si>
  <si>
    <r>
      <t xml:space="preserve">idle </t>
    </r>
    <r>
      <rPr>
        <sz val="11"/>
        <rFont val="Carlito"/>
      </rPr>
      <t>时</t>
    </r>
    <r>
      <rPr>
        <sz val="11"/>
        <rFont val="Carlito"/>
        <family val="2"/>
      </rPr>
      <t xml:space="preserve"> N=0</t>
    </r>
  </si>
  <si>
    <r>
      <rPr>
        <sz val="11"/>
        <rFont val="Carlito"/>
      </rPr>
      <t>当前未打断连续秒数</t>
    </r>
  </si>
  <si>
    <r>
      <rPr>
        <sz val="11"/>
        <rFont val="Carlito"/>
      </rPr>
      <t>会话结束时可为</t>
    </r>
    <r>
      <rPr>
        <sz val="11"/>
        <rFont val="Carlito"/>
        <family val="2"/>
      </rPr>
      <t xml:space="preserve"> 0</t>
    </r>
  </si>
  <si>
    <r>
      <t xml:space="preserve">Payload </t>
    </r>
    <r>
      <rPr>
        <sz val="11"/>
        <rFont val="Carlito"/>
      </rPr>
      <t>总长</t>
    </r>
  </si>
  <si>
    <r>
      <rPr>
        <sz val="11"/>
        <rFont val="Carlito"/>
      </rPr>
      <t>完整帧长</t>
    </r>
  </si>
  <si>
    <r>
      <rPr>
        <sz val="11"/>
        <rFont val="Carlito"/>
      </rPr>
      <t>传输</t>
    </r>
  </si>
  <si>
    <r>
      <rPr>
        <sz val="11"/>
        <rFont val="Carlito"/>
      </rPr>
      <t>简单包：</t>
    </r>
    <r>
      <rPr>
        <sz val="11"/>
        <rFont val="Carlito"/>
        <family val="2"/>
      </rPr>
      <t>Type(1)+Length(2)+Payload</t>
    </r>
  </si>
  <si>
    <r>
      <rPr>
        <b/>
        <sz val="11"/>
        <rFont val="Carlito"/>
      </rPr>
      <t>四、</t>
    </r>
    <r>
      <rPr>
        <b/>
        <sz val="11"/>
        <rFont val="Carlito"/>
        <family val="2"/>
      </rPr>
      <t>EnterTaskIn</t>
    </r>
    <r>
      <rPr>
        <b/>
        <sz val="11"/>
        <rFont val="Carlito"/>
      </rPr>
      <t>（</t>
    </r>
    <r>
      <rPr>
        <b/>
        <sz val="11"/>
        <rFont val="Carlito"/>
        <family val="2"/>
      </rPr>
      <t>0x10</t>
    </r>
    <r>
      <rPr>
        <b/>
        <sz val="11"/>
        <rFont val="Carlito"/>
      </rPr>
      <t>，</t>
    </r>
    <r>
      <rPr>
        <b/>
        <sz val="11"/>
        <rFont val="Carlito"/>
        <family val="2"/>
      </rPr>
      <t>SubVersion 0x02</t>
    </r>
    <r>
      <rPr>
        <b/>
        <sz val="11"/>
        <rFont val="Carlito"/>
      </rPr>
      <t>）</t>
    </r>
  </si>
  <si>
    <r>
      <t xml:space="preserve">Device </t>
    </r>
    <r>
      <rPr>
        <i/>
        <sz val="11"/>
        <rFont val="Carlito"/>
      </rPr>
      <t>→</t>
    </r>
    <r>
      <rPr>
        <i/>
        <sz val="11"/>
        <rFont val="Carlito"/>
        <family val="2"/>
      </rPr>
      <t xml:space="preserve"> App</t>
    </r>
    <r>
      <rPr>
        <i/>
        <sz val="11"/>
        <rFont val="Carlito"/>
      </rPr>
      <t>｜线上实时发送；断连时写入</t>
    </r>
    <r>
      <rPr>
        <i/>
        <sz val="11"/>
        <rFont val="Carlito"/>
        <family val="2"/>
      </rPr>
      <t xml:space="preserve"> OP_BATCH</t>
    </r>
    <r>
      <rPr>
        <i/>
        <sz val="11"/>
        <rFont val="Carlito"/>
      </rPr>
      <t>，设备立即进入专注</t>
    </r>
  </si>
  <si>
    <r>
      <rPr>
        <sz val="11"/>
        <rFont val="Carlito"/>
      </rPr>
      <t>专注操作</t>
    </r>
    <r>
      <rPr>
        <sz val="11"/>
        <rFont val="Carlito"/>
        <family val="2"/>
      </rPr>
      <t xml:space="preserve"> v2</t>
    </r>
  </si>
  <si>
    <r>
      <rPr>
        <sz val="11"/>
        <rFont val="Carlito"/>
      </rPr>
      <t>其他版本拒绝</t>
    </r>
  </si>
  <si>
    <r>
      <t xml:space="preserve">UInt32 BE </t>
    </r>
    <r>
      <rPr>
        <sz val="11"/>
        <rFont val="Carlito"/>
      </rPr>
      <t>非零</t>
    </r>
  </si>
  <si>
    <r>
      <rPr>
        <sz val="11"/>
        <rFont val="Carlito"/>
      </rPr>
      <t>本次开始操作</t>
    </r>
    <r>
      <rPr>
        <sz val="11"/>
        <rFont val="Carlito"/>
        <family val="2"/>
      </rPr>
      <t xml:space="preserve"> ID</t>
    </r>
  </si>
  <si>
    <r>
      <rPr>
        <sz val="11"/>
        <rFont val="Carlito"/>
      </rPr>
      <t>重传必须原样复用</t>
    </r>
  </si>
  <si>
    <r>
      <t xml:space="preserve">BootSessionId + </t>
    </r>
    <r>
      <rPr>
        <sz val="11"/>
        <rFont val="Carlito"/>
      </rPr>
      <t>本</t>
    </r>
    <r>
      <rPr>
        <sz val="11"/>
        <rFont val="Carlito"/>
        <family val="2"/>
      </rPr>
      <t xml:space="preserve"> StartOperationID</t>
    </r>
  </si>
  <si>
    <r>
      <rPr>
        <sz val="11"/>
        <rFont val="Carlito"/>
      </rPr>
      <t>全局幂等会话键</t>
    </r>
  </si>
  <si>
    <r>
      <t>N</t>
    </r>
    <r>
      <rPr>
        <sz val="11"/>
        <rFont val="Carlito"/>
      </rPr>
      <t>≤</t>
    </r>
    <r>
      <rPr>
        <sz val="11"/>
        <rFont val="Carlito"/>
        <family val="2"/>
      </rPr>
      <t>36</t>
    </r>
  </si>
  <si>
    <r>
      <rPr>
        <sz val="11"/>
        <rFont val="Carlito"/>
      </rPr>
      <t>可打印</t>
    </r>
    <r>
      <rPr>
        <sz val="11"/>
        <rFont val="Carlito"/>
        <family val="2"/>
      </rPr>
      <t xml:space="preserve"> ASCII</t>
    </r>
  </si>
  <si>
    <r>
      <rPr>
        <sz val="11"/>
        <rFont val="Carlito"/>
      </rPr>
      <t>开始</t>
    </r>
    <r>
      <rPr>
        <sz val="11"/>
        <rFont val="Carlito"/>
        <family val="2"/>
      </rPr>
      <t xml:space="preserve"> Unix </t>
    </r>
    <r>
      <rPr>
        <sz val="11"/>
        <rFont val="Carlito"/>
      </rPr>
      <t>时间</t>
    </r>
  </si>
  <si>
    <r>
      <t xml:space="preserve">RTC </t>
    </r>
    <r>
      <rPr>
        <sz val="11"/>
        <rFont val="Carlito"/>
      </rPr>
      <t>无效时置</t>
    </r>
    <r>
      <rPr>
        <sz val="11"/>
        <rFont val="Carlito"/>
        <family val="2"/>
      </rPr>
      <t xml:space="preserve"> 0</t>
    </r>
  </si>
  <si>
    <r>
      <rPr>
        <sz val="11"/>
        <rFont val="Carlito"/>
      </rPr>
      <t>简单事件包；离线时作为</t>
    </r>
    <r>
      <rPr>
        <sz val="11"/>
        <rFont val="Carlito"/>
        <family val="2"/>
      </rPr>
      <t xml:space="preserve"> OP_BATCH.OriginalPayload</t>
    </r>
  </si>
  <si>
    <r>
      <rPr>
        <b/>
        <sz val="11"/>
        <rFont val="Carlito"/>
      </rPr>
      <t>五、</t>
    </r>
    <r>
      <rPr>
        <b/>
        <sz val="11"/>
        <rFont val="Carlito"/>
        <family val="2"/>
      </rPr>
      <t>CompleteTask / SkipTask</t>
    </r>
    <r>
      <rPr>
        <b/>
        <sz val="11"/>
        <rFont val="Carlito"/>
      </rPr>
      <t>（</t>
    </r>
    <r>
      <rPr>
        <b/>
        <sz val="11"/>
        <rFont val="Carlito"/>
        <family val="2"/>
      </rPr>
      <t>0x11 / 0x12</t>
    </r>
    <r>
      <rPr>
        <b/>
        <sz val="11"/>
        <rFont val="Carlito"/>
      </rPr>
      <t>，</t>
    </r>
    <r>
      <rPr>
        <b/>
        <sz val="11"/>
        <rFont val="Carlito"/>
        <family val="2"/>
      </rPr>
      <t>SubVersion 0x02</t>
    </r>
    <r>
      <rPr>
        <b/>
        <sz val="11"/>
        <rFont val="Carlito"/>
      </rPr>
      <t>）</t>
    </r>
  </si>
  <si>
    <r>
      <t xml:space="preserve">Device </t>
    </r>
    <r>
      <rPr>
        <i/>
        <sz val="11"/>
        <rFont val="Carlito"/>
      </rPr>
      <t>→</t>
    </r>
    <r>
      <rPr>
        <i/>
        <sz val="11"/>
        <rFont val="Carlito"/>
        <family val="2"/>
      </rPr>
      <t xml:space="preserve"> App</t>
    </r>
    <r>
      <rPr>
        <i/>
        <sz val="11"/>
        <rFont val="Carlito"/>
      </rPr>
      <t>｜事件</t>
    </r>
    <r>
      <rPr>
        <i/>
        <sz val="11"/>
        <rFont val="Carlito"/>
        <family val="2"/>
      </rPr>
      <t xml:space="preserve"> Type </t>
    </r>
    <r>
      <rPr>
        <i/>
        <sz val="11"/>
        <rFont val="Carlito"/>
      </rPr>
      <t>隐含</t>
    </r>
    <r>
      <rPr>
        <i/>
        <sz val="11"/>
        <rFont val="Carlito"/>
        <family val="2"/>
      </rPr>
      <t xml:space="preserve"> complete/skip</t>
    </r>
    <r>
      <rPr>
        <i/>
        <sz val="11"/>
        <rFont val="Carlito"/>
      </rPr>
      <t>；断连时本地立即退出并写入</t>
    </r>
    <r>
      <rPr>
        <i/>
        <sz val="11"/>
        <rFont val="Carlito"/>
        <family val="2"/>
      </rPr>
      <t xml:space="preserve"> OP_BATCH</t>
    </r>
  </si>
  <si>
    <r>
      <rPr>
        <sz val="11"/>
        <rFont val="Carlito"/>
      </rPr>
      <t>专注结束操作</t>
    </r>
    <r>
      <rPr>
        <sz val="11"/>
        <rFont val="Carlito"/>
        <family val="2"/>
      </rPr>
      <t xml:space="preserve"> v2</t>
    </r>
  </si>
  <si>
    <r>
      <rPr>
        <sz val="11"/>
        <rFont val="Carlito"/>
      </rPr>
      <t>本次结束操作</t>
    </r>
    <r>
      <rPr>
        <sz val="11"/>
        <rFont val="Carlito"/>
        <family val="2"/>
      </rPr>
      <t xml:space="preserve"> ID</t>
    </r>
  </si>
  <si>
    <r>
      <rPr>
        <sz val="11"/>
        <rFont val="Carlito"/>
      </rPr>
      <t>要结束的会话</t>
    </r>
  </si>
  <si>
    <r>
      <rPr>
        <sz val="11"/>
        <rFont val="Carlito"/>
      </rPr>
      <t>必须匹配活动会话</t>
    </r>
  </si>
  <si>
    <r>
      <rPr>
        <sz val="11"/>
        <rFont val="Carlito"/>
      </rPr>
      <t>与开始操作一致</t>
    </r>
  </si>
  <si>
    <r>
      <rPr>
        <sz val="11"/>
        <rFont val="Carlito"/>
      </rPr>
      <t>本地按键结束时间</t>
    </r>
  </si>
  <si>
    <r>
      <rPr>
        <sz val="11"/>
        <rFont val="Carlito"/>
      </rPr>
      <t>设备累计秒数</t>
    </r>
  </si>
  <si>
    <r>
      <rPr>
        <sz val="11"/>
        <rFont val="Carlito"/>
      </rPr>
      <t>用于回推与异常校验</t>
    </r>
  </si>
  <si>
    <r>
      <rPr>
        <sz val="11"/>
        <rFont val="Carlito"/>
      </rPr>
      <t>固定</t>
    </r>
    <r>
      <rPr>
        <sz val="11"/>
        <rFont val="Carlito"/>
        <family val="2"/>
      </rPr>
      <t xml:space="preserve"> 0x06</t>
    </r>
  </si>
  <si>
    <r>
      <rPr>
        <sz val="11"/>
        <rFont val="Carlito"/>
      </rPr>
      <t>首字节</t>
    </r>
  </si>
  <si>
    <r>
      <rPr>
        <sz val="11"/>
        <rFont val="Carlito"/>
      </rPr>
      <t>本次裁决请求</t>
    </r>
    <r>
      <rPr>
        <sz val="11"/>
        <rFont val="Carlito"/>
        <family val="2"/>
      </rPr>
      <t xml:space="preserve"> ID</t>
    </r>
  </si>
  <si>
    <r>
      <rPr>
        <sz val="11"/>
        <rFont val="Carlito"/>
      </rPr>
      <t>重试原样复用</t>
    </r>
  </si>
  <si>
    <r>
      <rPr>
        <sz val="11"/>
        <rFont val="Carlito"/>
      </rPr>
      <t>裁决后的活动</t>
    </r>
    <r>
      <rPr>
        <sz val="11"/>
        <rFont val="Carlito"/>
        <family val="2"/>
      </rPr>
      <t>/</t>
    </r>
    <r>
      <rPr>
        <sz val="11"/>
        <rFont val="Carlito"/>
      </rPr>
      <t>结束会话</t>
    </r>
  </si>
  <si>
    <r>
      <t xml:space="preserve">idle </t>
    </r>
    <r>
      <rPr>
        <sz val="11"/>
        <rFont val="Carlito"/>
      </rPr>
      <t>且无历史目标时全</t>
    </r>
    <r>
      <rPr>
        <sz val="11"/>
        <rFont val="Carlito"/>
        <family val="2"/>
      </rPr>
      <t xml:space="preserve"> 0</t>
    </r>
  </si>
  <si>
    <r>
      <rPr>
        <sz val="11"/>
        <rFont val="Carlito"/>
      </rPr>
      <t>最终状态</t>
    </r>
  </si>
  <si>
    <r>
      <t xml:space="preserve">accepted/closed/conflictResolved </t>
    </r>
    <r>
      <rPr>
        <sz val="11"/>
        <rFont val="Carlito"/>
      </rPr>
      <t>等</t>
    </r>
  </si>
  <si>
    <r>
      <rPr>
        <sz val="11"/>
        <rFont val="Carlito"/>
      </rPr>
      <t>失败时设备保留队列</t>
    </r>
  </si>
  <si>
    <r>
      <rPr>
        <sz val="11"/>
        <rFont val="Carlito"/>
      </rPr>
      <t>权威开始时间</t>
    </r>
  </si>
  <si>
    <r>
      <rPr>
        <sz val="11"/>
        <rFont val="Carlito"/>
      </rPr>
      <t>离线创建采用设备时间</t>
    </r>
  </si>
  <si>
    <r>
      <rPr>
        <sz val="11"/>
        <rFont val="Carlito"/>
      </rPr>
      <t>权威结束时间</t>
    </r>
  </si>
  <si>
    <r>
      <rPr>
        <sz val="11"/>
        <rFont val="Carlito"/>
      </rPr>
      <t>活动会话为</t>
    </r>
    <r>
      <rPr>
        <sz val="11"/>
        <rFont val="Carlito"/>
        <family val="2"/>
      </rPr>
      <t xml:space="preserve"> 0</t>
    </r>
  </si>
  <si>
    <r>
      <rPr>
        <sz val="11"/>
        <rFont val="Carlito"/>
      </rPr>
      <t>用于设备立即校准</t>
    </r>
  </si>
  <si>
    <r>
      <rPr>
        <sz val="11"/>
        <rFont val="Carlito"/>
      </rPr>
      <t>裁决后的权威版本</t>
    </r>
  </si>
  <si>
    <r>
      <rPr>
        <sz val="11"/>
        <rFont val="Carlito"/>
      </rPr>
      <t>后续</t>
    </r>
    <r>
      <rPr>
        <sz val="11"/>
        <rFont val="Carlito"/>
        <family val="2"/>
      </rPr>
      <t xml:space="preserve"> 0x14 </t>
    </r>
    <r>
      <rPr>
        <sz val="11"/>
        <rFont val="Carlito"/>
      </rPr>
      <t>不得小于此值</t>
    </r>
  </si>
  <si>
    <r>
      <rPr>
        <sz val="11"/>
        <rFont val="Carlito"/>
      </rPr>
      <t>裁决后显示阶段</t>
    </r>
  </si>
  <si>
    <r>
      <rPr>
        <sz val="11"/>
        <rFont val="Carlito"/>
      </rPr>
      <t>按</t>
    </r>
    <r>
      <rPr>
        <sz val="11"/>
        <rFont val="Carlito"/>
        <family val="2"/>
      </rPr>
      <t xml:space="preserve"> elapsed </t>
    </r>
    <r>
      <rPr>
        <sz val="11"/>
        <rFont val="Carlito"/>
      </rPr>
      <t>派生</t>
    </r>
  </si>
  <si>
    <r>
      <rPr>
        <sz val="11"/>
        <rFont val="Carlito"/>
      </rPr>
      <t>裁决后显示瓶子</t>
    </r>
  </si>
  <si>
    <r>
      <rPr>
        <sz val="11"/>
        <rFont val="Carlito"/>
      </rPr>
      <t>不得累加双方值</t>
    </r>
  </si>
  <si>
    <r>
      <rPr>
        <b/>
        <sz val="11"/>
        <rFont val="Carlito"/>
      </rPr>
      <t>七、</t>
    </r>
    <r>
      <rPr>
        <b/>
        <sz val="11"/>
        <rFont val="Carlito"/>
        <family val="2"/>
      </rPr>
      <t>FOCUS_STATE</t>
    </r>
    <r>
      <rPr>
        <b/>
        <sz val="11"/>
        <rFont val="Carlito"/>
      </rPr>
      <t>（</t>
    </r>
    <r>
      <rPr>
        <b/>
        <sz val="11"/>
        <rFont val="Carlito"/>
        <family val="2"/>
      </rPr>
      <t>0x25 / Opcode 0x83</t>
    </r>
    <r>
      <rPr>
        <b/>
        <sz val="11"/>
        <rFont val="Carlito"/>
      </rPr>
      <t>）</t>
    </r>
  </si>
  <si>
    <r>
      <t xml:space="preserve">Device </t>
    </r>
    <r>
      <rPr>
        <i/>
        <sz val="11"/>
        <rFont val="Carlito"/>
      </rPr>
      <t>→</t>
    </r>
    <r>
      <rPr>
        <i/>
        <sz val="11"/>
        <rFont val="Carlito"/>
        <family val="2"/>
      </rPr>
      <t xml:space="preserve"> App</t>
    </r>
    <r>
      <rPr>
        <i/>
        <sz val="11"/>
        <rFont val="Carlito"/>
      </rPr>
      <t>｜</t>
    </r>
    <r>
      <rPr>
        <i/>
        <sz val="11"/>
        <rFont val="Carlito"/>
        <family val="2"/>
      </rPr>
      <t xml:space="preserve">Notify </t>
    </r>
    <r>
      <rPr>
        <i/>
        <sz val="11"/>
        <rFont val="Carlito"/>
      </rPr>
      <t>就绪后顺序：</t>
    </r>
    <r>
      <rPr>
        <i/>
        <sz val="11"/>
        <rFont val="Carlito"/>
        <family val="2"/>
      </rPr>
      <t xml:space="preserve">DeviceWake </t>
    </r>
    <r>
      <rPr>
        <i/>
        <sz val="11"/>
        <rFont val="Carlito"/>
      </rPr>
      <t>→</t>
    </r>
    <r>
      <rPr>
        <i/>
        <sz val="11"/>
        <rFont val="Carlito"/>
        <family val="2"/>
      </rPr>
      <t xml:space="preserve"> STATE </t>
    </r>
    <r>
      <rPr>
        <i/>
        <sz val="11"/>
        <rFont val="Carlito"/>
      </rPr>
      <t>→</t>
    </r>
    <r>
      <rPr>
        <i/>
        <sz val="11"/>
        <rFont val="Carlito"/>
        <family val="2"/>
      </rPr>
      <t xml:space="preserve"> FOCUS_STATE </t>
    </r>
    <r>
      <rPr>
        <i/>
        <sz val="11"/>
        <rFont val="Carlito"/>
      </rPr>
      <t>→</t>
    </r>
    <r>
      <rPr>
        <i/>
        <sz val="11"/>
        <rFont val="Carlito"/>
        <family val="2"/>
      </rPr>
      <t xml:space="preserve"> OP_BATCH</t>
    </r>
    <r>
      <rPr>
        <i/>
        <sz val="11"/>
        <rFont val="Carlito"/>
      </rPr>
      <t>；同步完成前</t>
    </r>
    <r>
      <rPr>
        <i/>
        <sz val="11"/>
        <rFont val="Carlito"/>
        <family val="2"/>
      </rPr>
      <t xml:space="preserve"> App </t>
    </r>
    <r>
      <rPr>
        <i/>
        <sz val="11"/>
        <rFont val="Carlito"/>
      </rPr>
      <t>禁止用普通</t>
    </r>
    <r>
      <rPr>
        <i/>
        <sz val="11"/>
        <rFont val="Carlito"/>
        <family val="2"/>
      </rPr>
      <t xml:space="preserve"> 0x14 </t>
    </r>
    <r>
      <rPr>
        <i/>
        <sz val="11"/>
        <rFont val="Carlito"/>
      </rPr>
      <t>覆盖设备</t>
    </r>
  </si>
  <si>
    <r>
      <rPr>
        <sz val="11"/>
        <rFont val="Carlito"/>
      </rPr>
      <t>固定</t>
    </r>
    <r>
      <rPr>
        <sz val="11"/>
        <rFont val="Carlito"/>
        <family val="2"/>
      </rPr>
      <t xml:space="preserve"> 0x83</t>
    </r>
  </si>
  <si>
    <r>
      <rPr>
        <sz val="11"/>
        <rFont val="Carlito"/>
      </rPr>
      <t>设备已应用版本</t>
    </r>
  </si>
  <si>
    <r>
      <rPr>
        <sz val="11"/>
        <rFont val="Carlito"/>
      </rPr>
      <t>本地离线变化也递增</t>
    </r>
  </si>
  <si>
    <r>
      <rPr>
        <sz val="11"/>
        <rFont val="Carlito"/>
      </rPr>
      <t>设备启动会话</t>
    </r>
    <r>
      <rPr>
        <sz val="11"/>
        <rFont val="Carlito"/>
        <family val="2"/>
      </rPr>
      <t xml:space="preserve"> ID</t>
    </r>
  </si>
  <si>
    <r>
      <rPr>
        <sz val="11"/>
        <rFont val="Carlito"/>
      </rPr>
      <t>与</t>
    </r>
    <r>
      <rPr>
        <sz val="11"/>
        <rFont val="Carlito"/>
        <family val="2"/>
      </rPr>
      <t xml:space="preserve"> OperationID </t>
    </r>
    <r>
      <rPr>
        <sz val="11"/>
        <rFont val="Carlito"/>
      </rPr>
      <t>组成幂等键</t>
    </r>
  </si>
  <si>
    <r>
      <rPr>
        <sz val="11"/>
        <rFont val="Carlito"/>
      </rPr>
      <t>当前或待裁决会话</t>
    </r>
  </si>
  <si>
    <r>
      <t xml:space="preserve">idle </t>
    </r>
    <r>
      <rPr>
        <sz val="11"/>
        <rFont val="Carlito"/>
      </rPr>
      <t>且无待裁决会话时全</t>
    </r>
    <r>
      <rPr>
        <sz val="11"/>
        <rFont val="Carlito"/>
        <family val="2"/>
      </rPr>
      <t xml:space="preserve"> 0</t>
    </r>
  </si>
  <si>
    <r>
      <rPr>
        <sz val="11"/>
        <rFont val="Carlito"/>
      </rPr>
      <t>本地当前状态</t>
    </r>
  </si>
  <si>
    <r>
      <rPr>
        <sz val="11"/>
        <rFont val="Carlito"/>
      </rPr>
      <t>决定开始时间权威来源</t>
    </r>
  </si>
  <si>
    <r>
      <rPr>
        <sz val="11"/>
        <rFont val="Carlito"/>
      </rPr>
      <t>任务</t>
    </r>
    <r>
      <rPr>
        <sz val="11"/>
        <rFont val="Carlito"/>
        <family val="2"/>
      </rPr>
      <t xml:space="preserve"> ID </t>
    </r>
    <r>
      <rPr>
        <sz val="11"/>
        <rFont val="Carlito"/>
      </rPr>
      <t>字节数</t>
    </r>
  </si>
  <si>
    <r>
      <t xml:space="preserve">idle </t>
    </r>
    <r>
      <rPr>
        <sz val="11"/>
        <rFont val="Carlito"/>
      </rPr>
      <t>可为</t>
    </r>
    <r>
      <rPr>
        <sz val="11"/>
        <rFont val="Carlito"/>
        <family val="2"/>
      </rPr>
      <t xml:space="preserve"> 0</t>
    </r>
  </si>
  <si>
    <r>
      <rPr>
        <sz val="11"/>
        <rFont val="Carlito"/>
      </rPr>
      <t>会话任务</t>
    </r>
    <r>
      <rPr>
        <sz val="11"/>
        <rFont val="Carlito"/>
        <family val="2"/>
      </rPr>
      <t xml:space="preserve"> ID</t>
    </r>
  </si>
  <si>
    <r>
      <rPr>
        <sz val="11"/>
        <rFont val="Carlito"/>
      </rPr>
      <t>长度必须精确匹配</t>
    </r>
  </si>
  <si>
    <r>
      <rPr>
        <sz val="11"/>
        <rFont val="Carlito"/>
      </rPr>
      <t>设备记录的开始时间</t>
    </r>
  </si>
  <si>
    <r>
      <t xml:space="preserve">RTC </t>
    </r>
    <r>
      <rPr>
        <sz val="11"/>
        <rFont val="Carlito"/>
      </rPr>
      <t>无效为</t>
    </r>
    <r>
      <rPr>
        <sz val="11"/>
        <rFont val="Carlito"/>
        <family val="2"/>
      </rPr>
      <t xml:space="preserve"> 0</t>
    </r>
  </si>
  <si>
    <r>
      <rPr>
        <sz val="11"/>
        <rFont val="Carlito"/>
      </rPr>
      <t>设备记录的结束时间</t>
    </r>
  </si>
  <si>
    <r>
      <rPr>
        <sz val="11"/>
        <rFont val="Carlito"/>
      </rPr>
      <t>时间对齐依据</t>
    </r>
  </si>
  <si>
    <r>
      <rPr>
        <sz val="11"/>
        <rFont val="Carlito"/>
      </rPr>
      <t>最近相关操作</t>
    </r>
    <r>
      <rPr>
        <sz val="11"/>
        <rFont val="Carlito"/>
        <family val="2"/>
      </rPr>
      <t xml:space="preserve"> ID</t>
    </r>
  </si>
  <si>
    <r>
      <rPr>
        <sz val="11"/>
        <rFont val="Carlito"/>
      </rPr>
      <t>用于诊断与完整性检查</t>
    </r>
  </si>
  <si>
    <r>
      <rPr>
        <sz val="11"/>
        <rFont val="Carlito"/>
      </rPr>
      <t>简单事件包：</t>
    </r>
    <r>
      <rPr>
        <sz val="11"/>
        <rFont val="Carlito"/>
        <family val="2"/>
      </rPr>
      <t>Type(1)+Length(1)+Payload</t>
    </r>
  </si>
  <si>
    <r>
      <rPr>
        <sz val="11"/>
        <rFont val="Carlito"/>
      </rPr>
      <t>步骤</t>
    </r>
  </si>
  <si>
    <r>
      <rPr>
        <sz val="11"/>
        <rFont val="Carlito"/>
      </rPr>
      <t>设备发送</t>
    </r>
    <r>
      <rPr>
        <sz val="11"/>
        <rFont val="Carlito"/>
        <family val="2"/>
      </rPr>
      <t>/</t>
    </r>
    <r>
      <rPr>
        <sz val="11"/>
        <rFont val="Carlito"/>
      </rPr>
      <t>处理</t>
    </r>
  </si>
  <si>
    <r>
      <t xml:space="preserve">App </t>
    </r>
    <r>
      <rPr>
        <sz val="11"/>
        <rFont val="Carlito"/>
      </rPr>
      <t>发送</t>
    </r>
    <r>
      <rPr>
        <sz val="11"/>
        <rFont val="Carlito"/>
        <family val="2"/>
      </rPr>
      <t>/</t>
    </r>
    <r>
      <rPr>
        <sz val="11"/>
        <rFont val="Carlito"/>
      </rPr>
      <t>处理</t>
    </r>
  </si>
  <si>
    <r>
      <rPr>
        <sz val="11"/>
        <rFont val="Carlito"/>
      </rPr>
      <t>完成条件</t>
    </r>
  </si>
  <si>
    <r>
      <rPr>
        <sz val="11"/>
        <rFont val="Carlito"/>
      </rPr>
      <t>禁止行为</t>
    </r>
  </si>
  <si>
    <r>
      <rPr>
        <sz val="11"/>
        <rFont val="Carlito"/>
      </rPr>
      <t>发送</t>
    </r>
    <r>
      <rPr>
        <sz val="11"/>
        <rFont val="Carlito"/>
        <family val="2"/>
      </rPr>
      <t xml:space="preserve"> DeviceWake</t>
    </r>
  </si>
  <si>
    <r>
      <rPr>
        <sz val="11"/>
        <rFont val="Carlito"/>
      </rPr>
      <t>建立本次连接上下文</t>
    </r>
  </si>
  <si>
    <r>
      <t xml:space="preserve">DeviceWake </t>
    </r>
    <r>
      <rPr>
        <sz val="11"/>
        <rFont val="Carlito"/>
      </rPr>
      <t>已接收</t>
    </r>
  </si>
  <si>
    <r>
      <rPr>
        <sz val="11"/>
        <rFont val="Carlito"/>
      </rPr>
      <t>立即下发旧</t>
    </r>
    <r>
      <rPr>
        <sz val="11"/>
        <rFont val="Carlito"/>
        <family val="2"/>
      </rPr>
      <t xml:space="preserve"> 0x14</t>
    </r>
  </si>
  <si>
    <r>
      <t xml:space="preserve">DeviceWake </t>
    </r>
    <r>
      <rPr>
        <sz val="11"/>
        <rFont val="Carlito"/>
      </rPr>
      <t>后</t>
    </r>
  </si>
  <si>
    <r>
      <rPr>
        <sz val="11"/>
        <rFont val="Carlito"/>
      </rPr>
      <t>发送</t>
    </r>
    <r>
      <rPr>
        <sz val="11"/>
        <rFont val="Carlito"/>
        <family val="2"/>
      </rPr>
      <t xml:space="preserve"> OfflineSync STATE</t>
    </r>
  </si>
  <si>
    <r>
      <rPr>
        <sz val="11"/>
        <rFont val="Carlito"/>
      </rPr>
      <t>检查</t>
    </r>
    <r>
      <rPr>
        <sz val="11"/>
        <rFont val="Carlito"/>
        <family val="2"/>
      </rPr>
      <t xml:space="preserve"> PendingCount/FocusSyncPending</t>
    </r>
  </si>
  <si>
    <r>
      <t xml:space="preserve">STATE </t>
    </r>
    <r>
      <rPr>
        <sz val="11"/>
        <rFont val="Carlito"/>
      </rPr>
      <t>已解析</t>
    </r>
  </si>
  <si>
    <r>
      <rPr>
        <sz val="11"/>
        <rFont val="Carlito"/>
      </rPr>
      <t>跳过待补报检查</t>
    </r>
  </si>
  <si>
    <r>
      <rPr>
        <sz val="11"/>
        <rFont val="Carlito"/>
      </rPr>
      <t>存在或曾存在会话</t>
    </r>
  </si>
  <si>
    <r>
      <rPr>
        <sz val="11"/>
        <rFont val="Carlito"/>
      </rPr>
      <t>发送</t>
    </r>
    <r>
      <rPr>
        <sz val="11"/>
        <rFont val="Carlito"/>
        <family val="2"/>
      </rPr>
      <t xml:space="preserve"> FOCUS_STATE</t>
    </r>
  </si>
  <si>
    <r>
      <rPr>
        <sz val="11"/>
        <rFont val="Carlito"/>
      </rPr>
      <t>冻结普通</t>
    </r>
    <r>
      <rPr>
        <sz val="11"/>
        <rFont val="Carlito"/>
        <family val="2"/>
      </rPr>
      <t xml:space="preserve"> FocusStatus </t>
    </r>
    <r>
      <rPr>
        <sz val="11"/>
        <rFont val="Carlito"/>
      </rPr>
      <t>下发</t>
    </r>
  </si>
  <si>
    <r>
      <rPr>
        <sz val="11"/>
        <rFont val="Carlito"/>
      </rPr>
      <t>快照已接收</t>
    </r>
  </si>
  <si>
    <r>
      <rPr>
        <sz val="11"/>
        <rFont val="Carlito"/>
      </rPr>
      <t>用</t>
    </r>
    <r>
      <rPr>
        <sz val="11"/>
        <rFont val="Carlito"/>
        <family val="2"/>
      </rPr>
      <t xml:space="preserve"> App idle </t>
    </r>
    <r>
      <rPr>
        <sz val="11"/>
        <rFont val="Carlito"/>
      </rPr>
      <t>覆盖设备</t>
    </r>
    <r>
      <rPr>
        <sz val="11"/>
        <rFont val="Carlito"/>
        <family val="2"/>
      </rPr>
      <t xml:space="preserve"> active</t>
    </r>
  </si>
  <si>
    <r>
      <rPr>
        <sz val="11"/>
        <rFont val="Carlito"/>
      </rPr>
      <t>按</t>
    </r>
    <r>
      <rPr>
        <sz val="11"/>
        <rFont val="Carlito"/>
        <family val="2"/>
      </rPr>
      <t xml:space="preserve"> OperationID </t>
    </r>
    <r>
      <rPr>
        <sz val="11"/>
        <rFont val="Carlito"/>
      </rPr>
      <t>发送</t>
    </r>
    <r>
      <rPr>
        <sz val="11"/>
        <rFont val="Carlito"/>
        <family val="2"/>
      </rPr>
      <t xml:space="preserve"> OP_BATCH</t>
    </r>
  </si>
  <si>
    <r>
      <rPr>
        <sz val="11"/>
        <rFont val="Carlito"/>
      </rPr>
      <t>幂等、顺序处理完整批次</t>
    </r>
  </si>
  <si>
    <r>
      <rPr>
        <sz val="11"/>
        <rFont val="Carlito"/>
      </rPr>
      <t>连续处理到最大</t>
    </r>
    <r>
      <rPr>
        <sz val="11"/>
        <rFont val="Carlito"/>
        <family val="2"/>
      </rPr>
      <t xml:space="preserve"> ID</t>
    </r>
  </si>
  <si>
    <r>
      <rPr>
        <sz val="11"/>
        <rFont val="Carlito"/>
      </rPr>
      <t>部分失败仍越级</t>
    </r>
    <r>
      <rPr>
        <sz val="11"/>
        <rFont val="Carlito"/>
        <family val="2"/>
      </rPr>
      <t xml:space="preserve"> ACK</t>
    </r>
  </si>
  <si>
    <r>
      <rPr>
        <b/>
        <sz val="11"/>
        <rFont val="Carlito"/>
      </rPr>
      <t>九、状态冲突裁决</t>
    </r>
  </si>
  <si>
    <r>
      <rPr>
        <sz val="11"/>
        <rFont val="Carlito"/>
      </rPr>
      <t>设备状态</t>
    </r>
  </si>
  <si>
    <r>
      <t xml:space="preserve">App </t>
    </r>
    <r>
      <rPr>
        <sz val="11"/>
        <rFont val="Carlito"/>
      </rPr>
      <t>状态</t>
    </r>
  </si>
  <si>
    <r>
      <rPr>
        <sz val="11"/>
        <rFont val="Carlito"/>
      </rPr>
      <t>裁决结果</t>
    </r>
  </si>
  <si>
    <r>
      <rPr>
        <sz val="11"/>
        <rFont val="Carlito"/>
      </rPr>
      <t>结算</t>
    </r>
    <r>
      <rPr>
        <sz val="11"/>
        <rFont val="Carlito"/>
        <family val="2"/>
      </rPr>
      <t>/</t>
    </r>
    <r>
      <rPr>
        <sz val="11"/>
        <rFont val="Carlito"/>
      </rPr>
      <t>页面行为</t>
    </r>
  </si>
  <si>
    <r>
      <rPr>
        <sz val="11"/>
        <rFont val="Carlito"/>
      </rPr>
      <t>离线新进入且</t>
    </r>
    <r>
      <rPr>
        <sz val="11"/>
        <rFont val="Carlito"/>
        <family val="2"/>
      </rPr>
      <t xml:space="preserve"> active</t>
    </r>
  </si>
  <si>
    <r>
      <rPr>
        <sz val="11"/>
        <rFont val="Carlito"/>
      </rPr>
      <t>接受设备会话</t>
    </r>
  </si>
  <si>
    <r>
      <rPr>
        <sz val="11"/>
        <rFont val="Carlito"/>
      </rPr>
      <t>设备</t>
    </r>
    <r>
      <rPr>
        <sz val="11"/>
        <rFont val="Carlito"/>
        <family val="2"/>
      </rPr>
      <t xml:space="preserve"> start</t>
    </r>
  </si>
  <si>
    <r>
      <t xml:space="preserve">App </t>
    </r>
    <r>
      <rPr>
        <sz val="11"/>
        <rFont val="Carlito"/>
      </rPr>
      <t>立即开启挡板；设备保持当前页</t>
    </r>
  </si>
  <si>
    <r>
      <rPr>
        <sz val="11"/>
        <rFont val="Carlito"/>
      </rPr>
      <t>离线</t>
    </r>
    <r>
      <rPr>
        <sz val="11"/>
        <rFont val="Carlito"/>
        <family val="2"/>
      </rPr>
      <t xml:space="preserve"> start </t>
    </r>
    <r>
      <rPr>
        <sz val="11"/>
        <rFont val="Carlito"/>
      </rPr>
      <t>后已</t>
    </r>
    <r>
      <rPr>
        <sz val="11"/>
        <rFont val="Carlito"/>
        <family val="2"/>
      </rPr>
      <t xml:space="preserve"> end</t>
    </r>
  </si>
  <si>
    <r>
      <rPr>
        <sz val="11"/>
        <rFont val="Carlito"/>
      </rPr>
      <t>生成一次历史会话</t>
    </r>
  </si>
  <si>
    <r>
      <rPr>
        <sz val="11"/>
        <rFont val="Carlito"/>
      </rPr>
      <t>设备</t>
    </r>
    <r>
      <rPr>
        <sz val="11"/>
        <rFont val="Carlito"/>
        <family val="2"/>
      </rPr>
      <t xml:space="preserve"> end</t>
    </r>
  </si>
  <si>
    <r>
      <rPr>
        <sz val="11"/>
        <rFont val="Carlito"/>
      </rPr>
      <t>不闪开挡板；只结算一次</t>
    </r>
  </si>
  <si>
    <r>
      <rPr>
        <sz val="11"/>
        <rFont val="Carlito"/>
      </rPr>
      <t>线上会话仍</t>
    </r>
    <r>
      <rPr>
        <sz val="11"/>
        <rFont val="Carlito"/>
        <family val="2"/>
      </rPr>
      <t xml:space="preserve"> active</t>
    </r>
  </si>
  <si>
    <r>
      <rPr>
        <sz val="11"/>
        <rFont val="Carlito"/>
      </rPr>
      <t>同一会话</t>
    </r>
    <r>
      <rPr>
        <sz val="11"/>
        <rFont val="Carlito"/>
        <family val="2"/>
      </rPr>
      <t xml:space="preserve"> active</t>
    </r>
  </si>
  <si>
    <r>
      <rPr>
        <sz val="11"/>
        <rFont val="Carlito"/>
      </rPr>
      <t>保持原会话</t>
    </r>
  </si>
  <si>
    <r>
      <t xml:space="preserve">App </t>
    </r>
    <r>
      <rPr>
        <sz val="11"/>
        <rFont val="Carlito"/>
      </rPr>
      <t>原</t>
    </r>
    <r>
      <rPr>
        <sz val="11"/>
        <rFont val="Carlito"/>
        <family val="2"/>
      </rPr>
      <t xml:space="preserve"> start</t>
    </r>
  </si>
  <si>
    <r>
      <rPr>
        <sz val="11"/>
        <rFont val="Carlito"/>
      </rPr>
      <t>设备对齐</t>
    </r>
    <r>
      <rPr>
        <sz val="11"/>
        <rFont val="Carlito"/>
        <family val="2"/>
      </rPr>
      <t xml:space="preserve"> App</t>
    </r>
    <r>
      <rPr>
        <sz val="11"/>
        <rFont val="Carlito"/>
      </rPr>
      <t>；不重发</t>
    </r>
    <r>
      <rPr>
        <sz val="11"/>
        <rFont val="Carlito"/>
        <family val="2"/>
      </rPr>
      <t xml:space="preserve"> start</t>
    </r>
  </si>
  <si>
    <r>
      <rPr>
        <sz val="11"/>
        <rFont val="Carlito"/>
      </rPr>
      <t>设备已</t>
    </r>
    <r>
      <rPr>
        <sz val="11"/>
        <rFont val="Carlito"/>
        <family val="2"/>
      </rPr>
      <t xml:space="preserve"> end</t>
    </r>
  </si>
  <si>
    <r>
      <rPr>
        <sz val="11"/>
        <rFont val="Carlito"/>
      </rPr>
      <t>原</t>
    </r>
    <r>
      <rPr>
        <sz val="11"/>
        <rFont val="Carlito"/>
        <family val="2"/>
      </rPr>
      <t xml:space="preserve"> start</t>
    </r>
  </si>
  <si>
    <r>
      <t xml:space="preserve">App </t>
    </r>
    <r>
      <rPr>
        <sz val="11"/>
        <rFont val="Carlito"/>
      </rPr>
      <t>撤挡板并结算</t>
    </r>
  </si>
  <si>
    <r>
      <rPr>
        <sz val="11"/>
        <rFont val="Carlito"/>
      </rPr>
      <t>设备</t>
    </r>
    <r>
      <rPr>
        <sz val="11"/>
        <rFont val="Carlito"/>
        <family val="2"/>
      </rPr>
      <t xml:space="preserve"> active</t>
    </r>
  </si>
  <si>
    <r>
      <rPr>
        <sz val="11"/>
        <rFont val="Carlito"/>
      </rPr>
      <t>同一会话已</t>
    </r>
    <r>
      <rPr>
        <sz val="11"/>
        <rFont val="Carlito"/>
        <family val="2"/>
      </rPr>
      <t xml:space="preserve"> end</t>
    </r>
  </si>
  <si>
    <r>
      <rPr>
        <sz val="11"/>
        <rFont val="Carlito"/>
      </rPr>
      <t>设备立即退出并停止计时</t>
    </r>
  </si>
  <si>
    <r>
      <rPr>
        <sz val="11"/>
        <rFont val="Carlito"/>
      </rPr>
      <t>双方都</t>
    </r>
    <r>
      <rPr>
        <sz val="11"/>
        <rFont val="Carlito"/>
        <family val="2"/>
      </rPr>
      <t xml:space="preserve"> end</t>
    </r>
  </si>
  <si>
    <r>
      <rPr>
        <sz val="11"/>
        <rFont val="Carlito"/>
      </rPr>
      <t>保持结束</t>
    </r>
  </si>
  <si>
    <r>
      <rPr>
        <sz val="11"/>
        <rFont val="Carlito"/>
      </rPr>
      <t>较早有效</t>
    </r>
    <r>
      <rPr>
        <sz val="11"/>
        <rFont val="Carlito"/>
        <family val="2"/>
      </rPr>
      <t xml:space="preserve"> end</t>
    </r>
  </si>
  <si>
    <r>
      <rPr>
        <sz val="11"/>
        <rFont val="Carlito"/>
      </rPr>
      <t>去重后仅结算一次</t>
    </r>
  </si>
  <si>
    <r>
      <t>active</t>
    </r>
    <r>
      <rPr>
        <sz val="11"/>
        <rFont val="Carlito"/>
      </rPr>
      <t>，会话</t>
    </r>
    <r>
      <rPr>
        <sz val="11"/>
        <rFont val="Carlito"/>
        <family val="2"/>
      </rPr>
      <t xml:space="preserve"> ID </t>
    </r>
    <r>
      <rPr>
        <sz val="11"/>
        <rFont val="Carlito"/>
      </rPr>
      <t>不同</t>
    </r>
  </si>
  <si>
    <r>
      <rPr>
        <sz val="11"/>
        <rFont val="Carlito"/>
      </rPr>
      <t>另一</t>
    </r>
    <r>
      <rPr>
        <sz val="11"/>
        <rFont val="Carlito"/>
        <family val="2"/>
      </rPr>
      <t xml:space="preserve"> active </t>
    </r>
    <r>
      <rPr>
        <sz val="11"/>
        <rFont val="Carlito"/>
      </rPr>
      <t>会话</t>
    </r>
  </si>
  <si>
    <r>
      <rPr>
        <sz val="11"/>
        <rFont val="Carlito"/>
      </rPr>
      <t>设备待同步</t>
    </r>
    <r>
      <rPr>
        <sz val="11"/>
        <rFont val="Carlito"/>
        <family val="2"/>
      </rPr>
      <t xml:space="preserve"> Start </t>
    </r>
    <r>
      <rPr>
        <sz val="11"/>
        <rFont val="Carlito"/>
      </rPr>
      <t>优先，关闭旧</t>
    </r>
    <r>
      <rPr>
        <sz val="11"/>
        <rFont val="Carlito"/>
        <family val="2"/>
      </rPr>
      <t xml:space="preserve"> App </t>
    </r>
    <r>
      <rPr>
        <sz val="11"/>
        <rFont val="Carlito"/>
      </rPr>
      <t>会话</t>
    </r>
  </si>
  <si>
    <r>
      <rPr>
        <sz val="11"/>
        <rFont val="Carlito"/>
      </rPr>
      <t>旧会话截断到设备</t>
    </r>
    <r>
      <rPr>
        <sz val="11"/>
        <rFont val="Carlito"/>
        <family val="2"/>
      </rPr>
      <t xml:space="preserve"> start</t>
    </r>
  </si>
  <si>
    <r>
      <rPr>
        <sz val="11"/>
        <rFont val="Carlito"/>
      </rPr>
      <t>记录</t>
    </r>
    <r>
      <rPr>
        <sz val="11"/>
        <rFont val="Carlito"/>
        <family val="2"/>
      </rPr>
      <t xml:space="preserve"> conflictResolved </t>
    </r>
    <r>
      <rPr>
        <sz val="11"/>
        <rFont val="Carlito"/>
      </rPr>
      <t>日志</t>
    </r>
  </si>
  <si>
    <r>
      <rPr>
        <b/>
        <sz val="11"/>
        <rFont val="Carlito"/>
      </rPr>
      <t>十、时间、幂等与可靠性</t>
    </r>
  </si>
  <si>
    <r>
      <rPr>
        <sz val="11"/>
        <rFont val="Carlito"/>
      </rPr>
      <t>主题</t>
    </r>
  </si>
  <si>
    <r>
      <rPr>
        <sz val="11"/>
        <rFont val="Carlito"/>
      </rPr>
      <t>正常阈值</t>
    </r>
  </si>
  <si>
    <r>
      <rPr>
        <sz val="11"/>
        <rFont val="Carlito"/>
      </rPr>
      <t>异常处理</t>
    </r>
  </si>
  <si>
    <r>
      <rPr>
        <sz val="11"/>
        <rFont val="Carlito"/>
      </rPr>
      <t>设备要求</t>
    </r>
  </si>
  <si>
    <r>
      <t xml:space="preserve">App </t>
    </r>
    <r>
      <rPr>
        <sz val="11"/>
        <rFont val="Carlito"/>
      </rPr>
      <t>要求</t>
    </r>
  </si>
  <si>
    <r>
      <rPr>
        <sz val="11"/>
        <rFont val="Carlito"/>
      </rPr>
      <t>计时精度</t>
    </r>
  </si>
  <si>
    <r>
      <rPr>
        <sz val="11"/>
        <rFont val="Carlito"/>
      </rPr>
      <t>协议统一传秒，不使用分钟做重连裁决</t>
    </r>
  </si>
  <si>
    <r>
      <rPr>
        <sz val="11"/>
        <rFont val="Carlito"/>
      </rPr>
      <t>差值</t>
    </r>
    <r>
      <rPr>
        <sz val="11"/>
        <rFont val="Carlito"/>
        <family val="2"/>
      </rPr>
      <t xml:space="preserve"> </t>
    </r>
    <r>
      <rPr>
        <sz val="11"/>
        <rFont val="Carlito"/>
      </rPr>
      <t>≤</t>
    </r>
    <r>
      <rPr>
        <sz val="11"/>
        <rFont val="Carlito"/>
        <family val="2"/>
      </rPr>
      <t xml:space="preserve">120 </t>
    </r>
    <r>
      <rPr>
        <sz val="11"/>
        <rFont val="Carlito"/>
      </rPr>
      <t>秒</t>
    </r>
  </si>
  <si>
    <r>
      <rPr>
        <sz val="11"/>
        <rFont val="Carlito"/>
      </rPr>
      <t>差值</t>
    </r>
    <r>
      <rPr>
        <sz val="11"/>
        <rFont val="Carlito"/>
        <family val="2"/>
      </rPr>
      <t>&gt;120</t>
    </r>
    <r>
      <rPr>
        <sz val="11"/>
        <rFont val="Carlito"/>
      </rPr>
      <t>秒记录异常但不创建新会话</t>
    </r>
  </si>
  <si>
    <r>
      <rPr>
        <sz val="11"/>
        <rFont val="Carlito"/>
      </rPr>
      <t>保留本地单调</t>
    </r>
    <r>
      <rPr>
        <sz val="11"/>
        <rFont val="Carlito"/>
        <family val="2"/>
      </rPr>
      <t xml:space="preserve"> elapsed</t>
    </r>
  </si>
  <si>
    <r>
      <rPr>
        <sz val="11"/>
        <rFont val="Carlito"/>
      </rPr>
      <t>按会话来源选择</t>
    </r>
    <r>
      <rPr>
        <sz val="11"/>
        <rFont val="Carlito"/>
        <family val="2"/>
      </rPr>
      <t xml:space="preserve"> start</t>
    </r>
  </si>
  <si>
    <r>
      <rPr>
        <sz val="11"/>
        <rFont val="Carlito"/>
      </rPr>
      <t>瓶子</t>
    </r>
    <r>
      <rPr>
        <sz val="11"/>
        <rFont val="Carlito"/>
        <family val="2"/>
      </rPr>
      <t>/</t>
    </r>
    <r>
      <rPr>
        <sz val="11"/>
        <rFont val="Carlito"/>
      </rPr>
      <t>阶段</t>
    </r>
  </si>
  <si>
    <r>
      <rPr>
        <sz val="11"/>
        <rFont val="Carlito"/>
      </rPr>
      <t>按权威</t>
    </r>
    <r>
      <rPr>
        <sz val="11"/>
        <rFont val="Carlito"/>
        <family val="2"/>
      </rPr>
      <t xml:space="preserve"> elapsed </t>
    </r>
    <r>
      <rPr>
        <sz val="11"/>
        <rFont val="Carlito"/>
      </rPr>
      <t>重新计算</t>
    </r>
  </si>
  <si>
    <r>
      <rPr>
        <sz val="11"/>
        <rFont val="Carlito"/>
      </rPr>
      <t>同规则结果一致</t>
    </r>
  </si>
  <si>
    <r>
      <rPr>
        <sz val="11"/>
        <rFont val="Carlito"/>
      </rPr>
      <t>不允许双方相加</t>
    </r>
  </si>
  <si>
    <r>
      <rPr>
        <sz val="11"/>
        <rFont val="Carlito"/>
      </rPr>
      <t>裁决前可显示本地值</t>
    </r>
  </si>
  <si>
    <r>
      <rPr>
        <sz val="11"/>
        <rFont val="Carlito"/>
      </rPr>
      <t>裁决后下发最终值</t>
    </r>
  </si>
  <si>
    <r>
      <rPr>
        <sz val="11"/>
        <rFont val="Carlito"/>
      </rPr>
      <t>幂等键</t>
    </r>
  </si>
  <si>
    <r>
      <rPr>
        <sz val="11"/>
        <rFont val="Carlito"/>
      </rPr>
      <t>全局唯一</t>
    </r>
  </si>
  <si>
    <r>
      <rPr>
        <sz val="11"/>
        <rFont val="Carlito"/>
      </rPr>
      <t>重复</t>
    </r>
    <r>
      <rPr>
        <sz val="11"/>
        <rFont val="Carlito"/>
        <family val="2"/>
      </rPr>
      <t xml:space="preserve"> payload </t>
    </r>
    <r>
      <rPr>
        <sz val="11"/>
        <rFont val="Carlito"/>
      </rPr>
      <t>不重复执行</t>
    </r>
  </si>
  <si>
    <r>
      <rPr>
        <sz val="11"/>
        <rFont val="Carlito"/>
      </rPr>
      <t>重试复用原字节</t>
    </r>
  </si>
  <si>
    <r>
      <rPr>
        <sz val="11"/>
        <rFont val="Carlito"/>
      </rPr>
      <t>账本去重</t>
    </r>
  </si>
  <si>
    <r>
      <rPr>
        <sz val="11"/>
        <rFont val="Carlito"/>
      </rPr>
      <t>会话键</t>
    </r>
  </si>
  <si>
    <r>
      <t xml:space="preserve">8B </t>
    </r>
    <r>
      <rPr>
        <sz val="11"/>
        <rFont val="Carlito"/>
      </rPr>
      <t>固定</t>
    </r>
  </si>
  <si>
    <r>
      <rPr>
        <sz val="11"/>
        <rFont val="Carlito"/>
      </rPr>
      <t>不允许复用</t>
    </r>
  </si>
  <si>
    <r>
      <rPr>
        <sz val="11"/>
        <rFont val="Carlito"/>
      </rPr>
      <t>本地持久保存</t>
    </r>
  </si>
  <si>
    <r>
      <rPr>
        <sz val="11"/>
        <rFont val="Carlito"/>
      </rPr>
      <t>所有起止</t>
    </r>
    <r>
      <rPr>
        <sz val="11"/>
        <rFont val="Carlito"/>
        <family val="2"/>
      </rPr>
      <t>/</t>
    </r>
    <r>
      <rPr>
        <sz val="11"/>
        <rFont val="Carlito"/>
      </rPr>
      <t>结算绑定会话</t>
    </r>
  </si>
  <si>
    <r>
      <rPr>
        <sz val="11"/>
        <rFont val="Carlito"/>
      </rPr>
      <t>仅</t>
    </r>
    <r>
      <rPr>
        <sz val="11"/>
        <rFont val="Carlito"/>
        <family val="2"/>
      </rPr>
      <t xml:space="preserve"> ACK </t>
    </r>
    <r>
      <rPr>
        <sz val="11"/>
        <rFont val="Carlito"/>
      </rPr>
      <t>连续成功处理的最大</t>
    </r>
    <r>
      <rPr>
        <sz val="11"/>
        <rFont val="Carlito"/>
        <family val="2"/>
      </rPr>
      <t xml:space="preserve"> OperationID</t>
    </r>
  </si>
  <si>
    <r>
      <rPr>
        <sz val="11"/>
        <rFont val="Carlito"/>
      </rPr>
      <t>累计</t>
    </r>
    <r>
      <rPr>
        <sz val="11"/>
        <rFont val="Carlito"/>
        <family val="2"/>
      </rPr>
      <t xml:space="preserve"> ACK</t>
    </r>
  </si>
  <si>
    <r>
      <rPr>
        <sz val="11"/>
        <rFont val="Carlito"/>
      </rPr>
      <t>缺口后停止</t>
    </r>
    <r>
      <rPr>
        <sz val="11"/>
        <rFont val="Carlito"/>
        <family val="2"/>
      </rPr>
      <t xml:space="preserve"> ACK</t>
    </r>
  </si>
  <si>
    <r>
      <rPr>
        <sz val="11"/>
        <rFont val="Carlito"/>
      </rPr>
      <t>仅删除已</t>
    </r>
    <r>
      <rPr>
        <sz val="11"/>
        <rFont val="Carlito"/>
        <family val="2"/>
      </rPr>
      <t xml:space="preserve"> ACK </t>
    </r>
    <r>
      <rPr>
        <sz val="11"/>
        <rFont val="Carlito"/>
      </rPr>
      <t>记录</t>
    </r>
  </si>
  <si>
    <r>
      <rPr>
        <sz val="11"/>
        <rFont val="Carlito"/>
      </rPr>
      <t>不可越过失败记录</t>
    </r>
  </si>
  <si>
    <r>
      <rPr>
        <sz val="11"/>
        <rFont val="Carlito"/>
      </rPr>
      <t>持久化</t>
    </r>
  </si>
  <si>
    <r>
      <rPr>
        <sz val="11"/>
        <rFont val="Carlito"/>
      </rPr>
      <t>未确认操作和当前专注状态跨重启保留</t>
    </r>
  </si>
  <si>
    <r>
      <rPr>
        <sz val="11"/>
        <rFont val="Carlito"/>
      </rPr>
      <t>队列建议</t>
    </r>
    <r>
      <rPr>
        <sz val="11"/>
        <rFont val="Carlito"/>
        <family val="2"/>
      </rPr>
      <t xml:space="preserve"> 64</t>
    </r>
  </si>
  <si>
    <r>
      <rPr>
        <sz val="11"/>
        <rFont val="Carlito"/>
      </rPr>
      <t>溢出置</t>
    </r>
    <r>
      <rPr>
        <sz val="11"/>
        <rFont val="Carlito"/>
        <family val="2"/>
      </rPr>
      <t xml:space="preserve"> OperationOverflow+NeedsFullSync</t>
    </r>
  </si>
  <si>
    <r>
      <rPr>
        <sz val="11"/>
        <rFont val="Carlito"/>
      </rPr>
      <t>不得静默丢弃</t>
    </r>
  </si>
  <si>
    <r>
      <rPr>
        <sz val="11"/>
        <rFont val="Carlito"/>
      </rPr>
      <t>执行完整状态核对</t>
    </r>
  </si>
  <si>
    <r>
      <rPr>
        <sz val="10"/>
        <rFont val="Carlito"/>
      </rPr>
      <t>供各命令字段引用</t>
    </r>
    <r>
      <rPr>
        <sz val="10"/>
        <rFont val="Carlito"/>
        <family val="2"/>
      </rPr>
      <t xml:space="preserve"> · </t>
    </r>
    <r>
      <rPr>
        <sz val="10"/>
        <rFont val="Carlito"/>
      </rPr>
      <t>单位：字节（</t>
    </r>
    <r>
      <rPr>
        <sz val="10"/>
        <rFont val="Carlito"/>
        <family val="2"/>
      </rPr>
      <t>Byte</t>
    </r>
    <r>
      <rPr>
        <sz val="10"/>
        <rFont val="Carlito"/>
      </rPr>
      <t>）</t>
    </r>
  </si>
  <si>
    <r>
      <t>Mood</t>
    </r>
    <r>
      <rPr>
        <b/>
        <sz val="11"/>
        <rFont val="Carlito"/>
      </rPr>
      <t>（</t>
    </r>
    <r>
      <rPr>
        <b/>
        <sz val="11"/>
        <rFont val="Carlito"/>
        <family val="2"/>
      </rPr>
      <t>0x01 PetStatus / 0x13 PetMoodByte</t>
    </r>
    <r>
      <rPr>
        <b/>
        <sz val="11"/>
        <rFont val="Carlito"/>
      </rPr>
      <t>）</t>
    </r>
  </si>
  <si>
    <r>
      <rPr>
        <b/>
        <sz val="10"/>
        <rFont val="Carlito"/>
      </rPr>
      <t>值</t>
    </r>
  </si>
  <si>
    <r>
      <rPr>
        <b/>
        <sz val="10"/>
        <rFont val="Carlito"/>
      </rPr>
      <t>名称</t>
    </r>
    <r>
      <rPr>
        <b/>
        <sz val="10"/>
        <rFont val="Carlito"/>
        <family val="2"/>
      </rPr>
      <t>/</t>
    </r>
    <r>
      <rPr>
        <b/>
        <sz val="10"/>
        <rFont val="Carlito"/>
      </rPr>
      <t>说明</t>
    </r>
  </si>
  <si>
    <r>
      <rPr>
        <b/>
        <sz val="10"/>
        <rFont val="Carlito"/>
      </rPr>
      <t>补充说明</t>
    </r>
  </si>
  <si>
    <r>
      <rPr>
        <sz val="11"/>
        <rFont val="Carlito"/>
      </rPr>
      <t>心情首字母（</t>
    </r>
    <r>
      <rPr>
        <sz val="11"/>
        <rFont val="Carlito"/>
        <family val="2"/>
      </rPr>
      <t>ASCII</t>
    </r>
    <r>
      <rPr>
        <sz val="11"/>
        <rFont val="Carlito"/>
      </rPr>
      <t>）</t>
    </r>
  </si>
  <si>
    <r>
      <t>CharacterId</t>
    </r>
    <r>
      <rPr>
        <b/>
        <sz val="11"/>
        <rFont val="Carlito"/>
      </rPr>
      <t>（</t>
    </r>
    <r>
      <rPr>
        <b/>
        <sz val="11"/>
        <rFont val="Carlito"/>
        <family val="2"/>
      </rPr>
      <t>0x01 PetStatus</t>
    </r>
    <r>
      <rPr>
        <b/>
        <sz val="11"/>
        <rFont val="Carlito"/>
      </rPr>
      <t>）</t>
    </r>
  </si>
  <si>
    <r>
      <t>Joy</t>
    </r>
    <r>
      <rPr>
        <sz val="11"/>
        <rFont val="Carlito"/>
      </rPr>
      <t>（喜乐）</t>
    </r>
  </si>
  <si>
    <r>
      <rPr>
        <sz val="11"/>
        <rFont val="Carlito"/>
      </rPr>
      <t>伴侣</t>
    </r>
    <r>
      <rPr>
        <sz val="11"/>
        <rFont val="Carlito"/>
        <family val="2"/>
      </rPr>
      <t xml:space="preserve"> IP</t>
    </r>
    <r>
      <rPr>
        <sz val="11"/>
        <rFont val="Carlito"/>
      </rPr>
      <t>，内置形象</t>
    </r>
  </si>
  <si>
    <r>
      <t>Silas</t>
    </r>
    <r>
      <rPr>
        <sz val="11"/>
        <rFont val="Carlito"/>
      </rPr>
      <t>（仁爱）</t>
    </r>
  </si>
  <si>
    <r>
      <t>Nova</t>
    </r>
    <r>
      <rPr>
        <sz val="11"/>
        <rFont val="Carlito"/>
      </rPr>
      <t>（节制</t>
    </r>
    <r>
      <rPr>
        <sz val="11"/>
        <rFont val="Carlito"/>
        <family val="2"/>
      </rPr>
      <t xml:space="preserve"> / </t>
    </r>
    <r>
      <rPr>
        <sz val="11"/>
        <rFont val="Carlito"/>
      </rPr>
      <t>自律）</t>
    </r>
  </si>
  <si>
    <r>
      <t>Condition</t>
    </r>
    <r>
      <rPr>
        <b/>
        <sz val="11"/>
        <rFont val="Carlito"/>
      </rPr>
      <t>（</t>
    </r>
    <r>
      <rPr>
        <b/>
        <sz val="11"/>
        <rFont val="Carlito"/>
        <family val="2"/>
      </rPr>
      <t xml:space="preserve">0x04 Weather </t>
    </r>
    <r>
      <rPr>
        <b/>
        <sz val="11"/>
        <rFont val="Carlito"/>
      </rPr>
      <t>天气状况）</t>
    </r>
  </si>
  <si>
    <r>
      <rPr>
        <sz val="11"/>
        <rFont val="Carlito"/>
      </rPr>
      <t>晴天</t>
    </r>
  </si>
  <si>
    <r>
      <rPr>
        <sz val="11"/>
        <rFont val="Carlito"/>
      </rPr>
      <t>多云</t>
    </r>
  </si>
  <si>
    <r>
      <rPr>
        <sz val="11"/>
        <rFont val="Carlito"/>
      </rPr>
      <t>局部多云</t>
    </r>
  </si>
  <si>
    <r>
      <rPr>
        <sz val="11"/>
        <rFont val="Carlito"/>
      </rPr>
      <t>雨天</t>
    </r>
  </si>
  <si>
    <r>
      <rPr>
        <sz val="11"/>
        <rFont val="Carlito"/>
      </rPr>
      <t>雪天</t>
    </r>
  </si>
  <si>
    <r>
      <rPr>
        <sz val="11"/>
        <rFont val="Carlito"/>
      </rPr>
      <t>暴风雨</t>
    </r>
  </si>
  <si>
    <r>
      <t>Category</t>
    </r>
    <r>
      <rPr>
        <b/>
        <sz val="11"/>
        <rFont val="Carlito"/>
      </rPr>
      <t>（</t>
    </r>
    <r>
      <rPr>
        <b/>
        <sz val="11"/>
        <rFont val="Carlito"/>
        <family val="2"/>
      </rPr>
      <t xml:space="preserve">0x10 DayPack Event </t>
    </r>
    <r>
      <rPr>
        <b/>
        <sz val="11"/>
        <rFont val="Carlito"/>
      </rPr>
      <t>类别，</t>
    </r>
    <r>
      <rPr>
        <b/>
        <sz val="11"/>
        <rFont val="Carlito"/>
        <family val="2"/>
      </rPr>
      <t>v2.5.27</t>
    </r>
    <r>
      <rPr>
        <b/>
        <sz val="11"/>
        <rFont val="Carlito"/>
      </rPr>
      <t>）</t>
    </r>
  </si>
  <si>
    <r>
      <rPr>
        <sz val="11"/>
        <rFont val="Carlito"/>
      </rPr>
      <t>未分类（保留值）</t>
    </r>
  </si>
  <si>
    <r>
      <rPr>
        <sz val="11"/>
        <rFont val="Carlito"/>
      </rPr>
      <t>不画图标；</t>
    </r>
    <r>
      <rPr>
        <sz val="11"/>
        <rFont val="Carlito"/>
        <family val="2"/>
      </rPr>
      <t xml:space="preserve">App </t>
    </r>
    <r>
      <rPr>
        <sz val="11"/>
        <rFont val="Carlito"/>
      </rPr>
      <t>自</t>
    </r>
    <r>
      <rPr>
        <sz val="11"/>
        <rFont val="Carlito"/>
        <family val="2"/>
      </rPr>
      <t xml:space="preserve"> v2.5.28 </t>
    </r>
    <r>
      <rPr>
        <sz val="11"/>
        <rFont val="Carlito"/>
      </rPr>
      <t>起不再发送，归类不了的一律按</t>
    </r>
    <r>
      <rPr>
        <sz val="11"/>
        <rFont val="Carlito"/>
        <family val="2"/>
      </rPr>
      <t xml:space="preserve"> 0x03 </t>
    </r>
    <r>
      <rPr>
        <sz val="11"/>
        <rFont val="Carlito"/>
      </rPr>
      <t>下发</t>
    </r>
  </si>
  <si>
    <r>
      <t>Deep Work</t>
    </r>
    <r>
      <rPr>
        <sz val="11"/>
        <rFont val="Carlito"/>
      </rPr>
      <t>（深度工作</t>
    </r>
    <r>
      <rPr>
        <sz val="11"/>
        <rFont val="Carlito"/>
        <family val="2"/>
      </rPr>
      <t>/</t>
    </r>
    <r>
      <rPr>
        <sz val="11"/>
        <rFont val="Carlito"/>
      </rPr>
      <t>核心生产力）</t>
    </r>
  </si>
  <si>
    <r>
      <rPr>
        <sz val="11"/>
        <rFont val="Carlito"/>
      </rPr>
      <t>内置图标：沙漏</t>
    </r>
  </si>
  <si>
    <r>
      <t>Meetings &amp; Synced</t>
    </r>
    <r>
      <rPr>
        <sz val="11"/>
        <rFont val="Carlito"/>
      </rPr>
      <t>（会议与协同沟通）</t>
    </r>
  </si>
  <si>
    <r>
      <rPr>
        <sz val="11"/>
        <rFont val="Carlito"/>
      </rPr>
      <t>内置图标：对话气泡</t>
    </r>
  </si>
  <si>
    <r>
      <t>Administrative &amp; Routine</t>
    </r>
    <r>
      <rPr>
        <sz val="11"/>
        <rFont val="Carlito"/>
      </rPr>
      <t>（行政日常琐碎）</t>
    </r>
  </si>
  <si>
    <r>
      <rPr>
        <sz val="11"/>
        <rFont val="Carlito"/>
      </rPr>
      <t>内置图标：点赞</t>
    </r>
  </si>
  <si>
    <r>
      <t>Critical Deadlines</t>
    </r>
    <r>
      <rPr>
        <sz val="11"/>
        <rFont val="Carlito"/>
      </rPr>
      <t>（硬性死线与交付）</t>
    </r>
  </si>
  <si>
    <r>
      <rPr>
        <sz val="11"/>
        <rFont val="Carlito"/>
      </rPr>
      <t>内置图标：对勾</t>
    </r>
  </si>
  <si>
    <r>
      <t>Bio-Habits &amp; Wellness</t>
    </r>
    <r>
      <rPr>
        <sz val="11"/>
        <rFont val="Carlito"/>
      </rPr>
      <t>（生物钟习惯与健康）</t>
    </r>
  </si>
  <si>
    <r>
      <rPr>
        <sz val="11"/>
        <rFont val="Carlito"/>
      </rPr>
      <t>内置图标：爱心</t>
    </r>
  </si>
  <si>
    <r>
      <t>Rest &amp; Recharge</t>
    </r>
    <r>
      <rPr>
        <sz val="11"/>
        <rFont val="Carlito"/>
      </rPr>
      <t>（充能与私人生活）</t>
    </r>
  </si>
  <si>
    <r>
      <rPr>
        <sz val="11"/>
        <rFont val="Carlito"/>
      </rPr>
      <t>内置图标：笑脸</t>
    </r>
  </si>
  <si>
    <r>
      <t>DeviceMode / Phase</t>
    </r>
    <r>
      <rPr>
        <b/>
        <sz val="11"/>
        <rFont val="Carlito"/>
      </rPr>
      <t>（</t>
    </r>
    <r>
      <rPr>
        <b/>
        <sz val="11"/>
        <rFont val="Carlito"/>
        <family val="2"/>
      </rPr>
      <t>0x12 / 0x14</t>
    </r>
    <r>
      <rPr>
        <b/>
        <sz val="11"/>
        <rFont val="Carlito"/>
      </rPr>
      <t>）</t>
    </r>
  </si>
  <si>
    <r>
      <t>Interactive</t>
    </r>
    <r>
      <rPr>
        <sz val="11"/>
        <rFont val="Carlito"/>
      </rPr>
      <t>（</t>
    </r>
    <r>
      <rPr>
        <sz val="11"/>
        <rFont val="Carlito"/>
        <family val="2"/>
      </rPr>
      <t>0x12</t>
    </r>
    <r>
      <rPr>
        <sz val="11"/>
        <rFont val="Carlito"/>
      </rPr>
      <t>）</t>
    </r>
    <r>
      <rPr>
        <sz val="11"/>
        <rFont val="Carlito"/>
        <family val="2"/>
      </rPr>
      <t xml:space="preserve"> / idle</t>
    </r>
    <r>
      <rPr>
        <sz val="11"/>
        <rFont val="Carlito"/>
      </rPr>
      <t>（</t>
    </r>
    <r>
      <rPr>
        <sz val="11"/>
        <rFont val="Carlito"/>
        <family val="2"/>
      </rPr>
      <t>0x14</t>
    </r>
    <r>
      <rPr>
        <sz val="11"/>
        <rFont val="Carlito"/>
      </rPr>
      <t>）</t>
    </r>
  </si>
  <si>
    <r>
      <t>0x12</t>
    </r>
    <r>
      <rPr>
        <sz val="11"/>
        <rFont val="Carlito"/>
      </rPr>
      <t>：交互模式；</t>
    </r>
    <r>
      <rPr>
        <sz val="11"/>
        <rFont val="Carlito"/>
        <family val="2"/>
      </rPr>
      <t>0x14</t>
    </r>
    <r>
      <rPr>
        <sz val="11"/>
        <rFont val="Carlito"/>
      </rPr>
      <t>：无活跃专注会话</t>
    </r>
  </si>
  <si>
    <r>
      <t>Focus</t>
    </r>
    <r>
      <rPr>
        <sz val="11"/>
        <rFont val="Carlito"/>
      </rPr>
      <t>（</t>
    </r>
    <r>
      <rPr>
        <sz val="11"/>
        <rFont val="Carlito"/>
        <family val="2"/>
      </rPr>
      <t>0x12</t>
    </r>
    <r>
      <rPr>
        <sz val="11"/>
        <rFont val="Carlito"/>
      </rPr>
      <t>）</t>
    </r>
    <r>
      <rPr>
        <sz val="11"/>
        <rFont val="Carlito"/>
        <family val="2"/>
      </rPr>
      <t xml:space="preserve"> / warmup</t>
    </r>
    <r>
      <rPr>
        <sz val="11"/>
        <rFont val="Carlito"/>
      </rPr>
      <t>（</t>
    </r>
    <r>
      <rPr>
        <sz val="11"/>
        <rFont val="Carlito"/>
        <family val="2"/>
      </rPr>
      <t>0x14</t>
    </r>
    <r>
      <rPr>
        <sz val="11"/>
        <rFont val="Carlito"/>
      </rPr>
      <t>）</t>
    </r>
  </si>
  <si>
    <r>
      <t>0x14</t>
    </r>
    <r>
      <rPr>
        <sz val="11"/>
        <rFont val="Carlito"/>
      </rPr>
      <t>：当前未打断段</t>
    </r>
    <r>
      <rPr>
        <sz val="11"/>
        <rFont val="Carlito"/>
        <family val="2"/>
      </rPr>
      <t xml:space="preserve"> 0–5 </t>
    </r>
    <r>
      <rPr>
        <sz val="11"/>
        <rFont val="Carlito"/>
      </rPr>
      <t>分钟</t>
    </r>
  </si>
  <si>
    <r>
      <t>building</t>
    </r>
    <r>
      <rPr>
        <sz val="11"/>
        <rFont val="Carlito"/>
      </rPr>
      <t>（</t>
    </r>
    <r>
      <rPr>
        <sz val="11"/>
        <rFont val="Carlito"/>
        <family val="2"/>
      </rPr>
      <t>0x14</t>
    </r>
    <r>
      <rPr>
        <sz val="11"/>
        <rFont val="Carlito"/>
      </rPr>
      <t>）</t>
    </r>
  </si>
  <si>
    <r>
      <rPr>
        <sz val="11"/>
        <rFont val="Carlito"/>
      </rPr>
      <t>当前未打断段</t>
    </r>
    <r>
      <rPr>
        <sz val="11"/>
        <rFont val="Carlito"/>
        <family val="2"/>
      </rPr>
      <t xml:space="preserve"> 6–15 </t>
    </r>
    <r>
      <rPr>
        <sz val="11"/>
        <rFont val="Carlito"/>
      </rPr>
      <t>分钟</t>
    </r>
  </si>
  <si>
    <r>
      <t>deep</t>
    </r>
    <r>
      <rPr>
        <sz val="11"/>
        <rFont val="Carlito"/>
      </rPr>
      <t>（</t>
    </r>
    <r>
      <rPr>
        <sz val="11"/>
        <rFont val="Carlito"/>
        <family val="2"/>
      </rPr>
      <t>0x14</t>
    </r>
    <r>
      <rPr>
        <sz val="11"/>
        <rFont val="Carlito"/>
      </rPr>
      <t>）</t>
    </r>
  </si>
  <si>
    <r>
      <rPr>
        <sz val="11"/>
        <rFont val="Carlito"/>
      </rPr>
      <t>当前未打断段</t>
    </r>
    <r>
      <rPr>
        <sz val="11"/>
        <rFont val="Carlito"/>
        <family val="2"/>
      </rPr>
      <t xml:space="preserve"> 16 </t>
    </r>
    <r>
      <rPr>
        <sz val="11"/>
        <rFont val="Carlito"/>
      </rPr>
      <t>分钟以上</t>
    </r>
  </si>
  <si>
    <r>
      <t>ReminderType</t>
    </r>
    <r>
      <rPr>
        <b/>
        <sz val="11"/>
        <rFont val="Carlito"/>
      </rPr>
      <t>（</t>
    </r>
    <r>
      <rPr>
        <b/>
        <sz val="11"/>
        <rFont val="Carlito"/>
        <family val="2"/>
      </rPr>
      <t>0x13 SmartReminder</t>
    </r>
    <r>
      <rPr>
        <b/>
        <sz val="11"/>
        <rFont val="Carlito"/>
      </rPr>
      <t>）</t>
    </r>
  </si>
  <si>
    <r>
      <rPr>
        <sz val="11"/>
        <rFont val="Carlito"/>
      </rPr>
      <t>普通提醒，标准显示</t>
    </r>
  </si>
  <si>
    <r>
      <rPr>
        <sz val="11"/>
        <rFont val="Carlito"/>
      </rPr>
      <t>紧急提醒，加粗边框显示</t>
    </r>
  </si>
  <si>
    <r>
      <t>SceneId / SceneByte</t>
    </r>
    <r>
      <rPr>
        <b/>
        <sz val="11"/>
        <rFont val="Carlito"/>
      </rPr>
      <t>（</t>
    </r>
    <r>
      <rPr>
        <b/>
        <sz val="11"/>
        <rFont val="Carlito"/>
        <family val="2"/>
      </rPr>
      <t>0x17 SceneUnlock / 0x16 Screensaver</t>
    </r>
    <r>
      <rPr>
        <b/>
        <sz val="11"/>
        <rFont val="Carlito"/>
      </rPr>
      <t>）</t>
    </r>
  </si>
  <si>
    <r>
      <rPr>
        <sz val="11"/>
        <rFont val="Carlito"/>
      </rPr>
      <t>港口场景</t>
    </r>
  </si>
  <si>
    <r>
      <rPr>
        <sz val="11"/>
        <rFont val="Carlito"/>
      </rPr>
      <t>森林场景</t>
    </r>
  </si>
  <si>
    <r>
      <rPr>
        <sz val="11"/>
        <rFont val="Carlito"/>
      </rPr>
      <t>城市夜景场景</t>
    </r>
  </si>
  <si>
    <r>
      <t>ContentType</t>
    </r>
    <r>
      <rPr>
        <b/>
        <sz val="11"/>
        <rFont val="Carlito"/>
      </rPr>
      <t>（</t>
    </r>
    <r>
      <rPr>
        <b/>
        <sz val="11"/>
        <rFont val="Carlito"/>
        <family val="2"/>
      </rPr>
      <t>0x16 Screensaver</t>
    </r>
    <r>
      <rPr>
        <b/>
        <sz val="11"/>
        <rFont val="Carlito"/>
      </rPr>
      <t>）</t>
    </r>
  </si>
  <si>
    <r>
      <rPr>
        <sz val="11"/>
        <rFont val="Carlito"/>
      </rPr>
      <t>金句</t>
    </r>
  </si>
  <si>
    <r>
      <rPr>
        <sz val="11"/>
        <rFont val="Carlito"/>
      </rPr>
      <t>明信片</t>
    </r>
  </si>
  <si>
    <r>
      <t>Command</t>
    </r>
    <r>
      <rPr>
        <b/>
        <sz val="11"/>
        <rFont val="Carlito"/>
      </rPr>
      <t>（</t>
    </r>
    <r>
      <rPr>
        <b/>
        <sz val="11"/>
        <rFont val="Carlito"/>
        <family val="2"/>
      </rPr>
      <t>0x19 WiFiDebugMode / 0x1A WiFiAvatarSession</t>
    </r>
    <r>
      <rPr>
        <b/>
        <sz val="11"/>
        <rFont val="Carlito"/>
      </rPr>
      <t>）</t>
    </r>
  </si>
  <si>
    <r>
      <rPr>
        <sz val="11"/>
        <rFont val="Carlito"/>
      </rPr>
      <t>关闭</t>
    </r>
    <r>
      <rPr>
        <sz val="11"/>
        <rFont val="Carlito"/>
        <family val="2"/>
      </rPr>
      <t xml:space="preserve"> / </t>
    </r>
    <r>
      <rPr>
        <sz val="11"/>
        <rFont val="Carlito"/>
      </rPr>
      <t>停止</t>
    </r>
    <r>
      <rPr>
        <sz val="11"/>
        <rFont val="Carlito"/>
        <family val="2"/>
      </rPr>
      <t xml:space="preserve"> SoftAP</t>
    </r>
  </si>
  <si>
    <r>
      <rPr>
        <sz val="11"/>
        <rFont val="Carlito"/>
      </rPr>
      <t>开启并回报状态（</t>
    </r>
    <r>
      <rPr>
        <sz val="11"/>
        <rFont val="Carlito"/>
        <family val="2"/>
      </rPr>
      <t xml:space="preserve">0x1A </t>
    </r>
    <r>
      <rPr>
        <sz val="11"/>
        <rFont val="Carlito"/>
      </rPr>
      <t>附带凭据与端点）</t>
    </r>
  </si>
  <si>
    <r>
      <rPr>
        <sz val="11"/>
        <rFont val="Carlito"/>
      </rPr>
      <t>查询当前实际状态，不改变状态</t>
    </r>
  </si>
  <si>
    <r>
      <t>Command</t>
    </r>
    <r>
      <rPr>
        <b/>
        <sz val="11"/>
        <rFont val="Carlito"/>
      </rPr>
      <t>（</t>
    </r>
    <r>
      <rPr>
        <b/>
        <sz val="11"/>
        <rFont val="Carlito"/>
        <family val="2"/>
      </rPr>
      <t>0x22 AvatarControl</t>
    </r>
    <r>
      <rPr>
        <b/>
        <sz val="11"/>
        <rFont val="Carlito"/>
      </rPr>
      <t>）</t>
    </r>
  </si>
  <si>
    <r>
      <rPr>
        <sz val="11"/>
        <rFont val="Carlito"/>
      </rPr>
      <t>原子提交已</t>
    </r>
    <r>
      <rPr>
        <sz val="11"/>
        <rFont val="Carlito"/>
        <family val="2"/>
      </rPr>
      <t xml:space="preserve"> staged </t>
    </r>
    <r>
      <rPr>
        <sz val="11"/>
        <rFont val="Carlito"/>
      </rPr>
      <t>的同</t>
    </r>
    <r>
      <rPr>
        <sz val="11"/>
        <rFont val="Carlito"/>
        <family val="2"/>
      </rPr>
      <t xml:space="preserve"> OperationID+AvatarID </t>
    </r>
    <r>
      <rPr>
        <sz val="11"/>
        <rFont val="Carlito"/>
      </rPr>
      <t>候选图并启用</t>
    </r>
  </si>
  <si>
    <r>
      <rPr>
        <sz val="11"/>
        <rFont val="Carlito"/>
      </rPr>
      <t>仅在正式库存</t>
    </r>
    <r>
      <rPr>
        <sz val="11"/>
        <rFont val="Carlito"/>
        <family val="2"/>
      </rPr>
      <t xml:space="preserve"> AvatarID </t>
    </r>
    <r>
      <rPr>
        <sz val="11"/>
        <rFont val="Carlito"/>
      </rPr>
      <t>精确相等时擦除并重建分区</t>
    </r>
  </si>
  <si>
    <r>
      <t xml:space="preserve">AvatarID </t>
    </r>
    <r>
      <rPr>
        <sz val="11"/>
        <rFont val="Carlito"/>
      </rPr>
      <t>全</t>
    </r>
    <r>
      <rPr>
        <sz val="11"/>
        <rFont val="Carlito"/>
        <family val="2"/>
      </rPr>
      <t xml:space="preserve"> 16B </t>
    </r>
    <r>
      <rPr>
        <sz val="11"/>
        <rFont val="Carlito"/>
      </rPr>
      <t>为</t>
    </r>
    <r>
      <rPr>
        <sz val="11"/>
        <rFont val="Carlito"/>
        <family val="2"/>
      </rPr>
      <t xml:space="preserve"> 0</t>
    </r>
    <r>
      <rPr>
        <sz val="11"/>
        <rFont val="Carlito"/>
      </rPr>
      <t>；退出登录</t>
    </r>
    <r>
      <rPr>
        <sz val="11"/>
        <rFont val="Carlito"/>
        <family val="2"/>
      </rPr>
      <t>/</t>
    </r>
    <r>
      <rPr>
        <sz val="11"/>
        <rFont val="Carlito"/>
      </rPr>
      <t>账户清理</t>
    </r>
  </si>
  <si>
    <r>
      <t xml:space="preserve">AvatarID </t>
    </r>
    <r>
      <rPr>
        <sz val="11"/>
        <rFont val="Carlito"/>
      </rPr>
      <t>全</t>
    </r>
    <r>
      <rPr>
        <sz val="11"/>
        <rFont val="Carlito"/>
        <family val="2"/>
      </rPr>
      <t xml:space="preserve"> 16B </t>
    </r>
    <r>
      <rPr>
        <sz val="11"/>
        <rFont val="Carlito"/>
      </rPr>
      <t>为</t>
    </r>
    <r>
      <rPr>
        <sz val="11"/>
        <rFont val="Carlito"/>
        <family val="2"/>
      </rPr>
      <t xml:space="preserve"> 0</t>
    </r>
    <r>
      <rPr>
        <sz val="11"/>
        <rFont val="Carlito"/>
      </rPr>
      <t>；查询</t>
    </r>
    <r>
      <rPr>
        <sz val="11"/>
        <rFont val="Carlito"/>
        <family val="2"/>
      </rPr>
      <t xml:space="preserve"> staged </t>
    </r>
    <r>
      <rPr>
        <sz val="11"/>
        <rFont val="Carlito"/>
      </rPr>
      <t>或</t>
    </r>
    <r>
      <rPr>
        <sz val="11"/>
        <rFont val="Carlito"/>
        <family val="2"/>
      </rPr>
      <t xml:space="preserve"> committed </t>
    </r>
    <r>
      <rPr>
        <sz val="11"/>
        <rFont val="Carlito"/>
      </rPr>
      <t>真实库存（只读）</t>
    </r>
  </si>
  <si>
    <r>
      <t xml:space="preserve">AvatarID </t>
    </r>
    <r>
      <rPr>
        <sz val="11"/>
        <rFont val="Carlito"/>
      </rPr>
      <t>全</t>
    </r>
    <r>
      <rPr>
        <sz val="11"/>
        <rFont val="Carlito"/>
        <family val="2"/>
      </rPr>
      <t xml:space="preserve"> 16B </t>
    </r>
    <r>
      <rPr>
        <sz val="11"/>
        <rFont val="Carlito"/>
      </rPr>
      <t>为</t>
    </r>
    <r>
      <rPr>
        <sz val="11"/>
        <rFont val="Carlito"/>
        <family val="2"/>
      </rPr>
      <t xml:space="preserve"> 0</t>
    </r>
    <r>
      <rPr>
        <sz val="11"/>
        <rFont val="Carlito"/>
      </rPr>
      <t>；仅</t>
    </r>
    <r>
      <rPr>
        <sz val="11"/>
        <rFont val="Carlito"/>
        <family val="2"/>
      </rPr>
      <t xml:space="preserve"> commit </t>
    </r>
    <r>
      <rPr>
        <sz val="11"/>
        <rFont val="Carlito"/>
      </rPr>
      <t>前放弃候选临时文件</t>
    </r>
  </si>
  <si>
    <r>
      <t>Action</t>
    </r>
    <r>
      <rPr>
        <b/>
        <sz val="11"/>
        <rFont val="Carlito"/>
      </rPr>
      <t>（</t>
    </r>
    <r>
      <rPr>
        <b/>
        <sz val="11"/>
        <rFont val="Carlito"/>
        <family val="2"/>
      </rPr>
      <t>0x1B TaskListSnapshotAck</t>
    </r>
    <r>
      <rPr>
        <b/>
        <sz val="11"/>
        <rFont val="Carlito"/>
      </rPr>
      <t>）</t>
    </r>
  </si>
  <si>
    <r>
      <rPr>
        <sz val="11"/>
        <rFont val="Carlito"/>
      </rPr>
      <t>原请求动作为完成</t>
    </r>
  </si>
  <si>
    <r>
      <rPr>
        <sz val="11"/>
        <rFont val="Carlito"/>
      </rPr>
      <t>原请求动作为跳过</t>
    </r>
  </si>
  <si>
    <r>
      <rPr>
        <sz val="11"/>
        <rFont val="Carlito"/>
      </rPr>
      <t>原请求动作为刷新（</t>
    </r>
    <r>
      <rPr>
        <sz val="11"/>
        <rFont val="Carlito"/>
        <family val="2"/>
      </rPr>
      <t>OperationID=RequestID</t>
    </r>
    <r>
      <rPr>
        <sz val="11"/>
        <rFont val="Carlito"/>
      </rPr>
      <t>）</t>
    </r>
  </si>
  <si>
    <r>
      <t>Result</t>
    </r>
    <r>
      <rPr>
        <b/>
        <sz val="11"/>
        <rFont val="Carlito"/>
      </rPr>
      <t>（</t>
    </r>
    <r>
      <rPr>
        <b/>
        <sz val="11"/>
        <rFont val="Carlito"/>
        <family val="2"/>
      </rPr>
      <t>0x1B TaskListSnapshotAck</t>
    </r>
    <r>
      <rPr>
        <b/>
        <sz val="11"/>
        <rFont val="Carlito"/>
      </rPr>
      <t>）</t>
    </r>
  </si>
  <si>
    <r>
      <rPr>
        <sz val="11"/>
        <rFont val="Carlito"/>
      </rPr>
      <t>新操作已成功应用</t>
    </r>
  </si>
  <si>
    <r>
      <rPr>
        <sz val="11"/>
        <rFont val="Carlito"/>
      </rPr>
      <t>首次收到该</t>
    </r>
    <r>
      <rPr>
        <sz val="11"/>
        <rFont val="Carlito"/>
        <family val="2"/>
      </rPr>
      <t xml:space="preserve"> OperationID </t>
    </r>
    <r>
      <rPr>
        <sz val="11"/>
        <rFont val="Carlito"/>
      </rPr>
      <t>时任务已是完成状态</t>
    </r>
  </si>
  <si>
    <r>
      <t xml:space="preserve">App </t>
    </r>
    <r>
      <rPr>
        <sz val="11"/>
        <rFont val="Carlito"/>
      </rPr>
      <t>找不到</t>
    </r>
    <r>
      <rPr>
        <sz val="11"/>
        <rFont val="Carlito"/>
        <family val="2"/>
      </rPr>
      <t xml:space="preserve"> TaskId</t>
    </r>
    <r>
      <rPr>
        <sz val="11"/>
        <rFont val="Carlito"/>
      </rPr>
      <t>，任务状态未改变</t>
    </r>
  </si>
  <si>
    <r>
      <rPr>
        <sz val="11"/>
        <rFont val="Carlito"/>
      </rPr>
      <t>业务校验失败，或同一</t>
    </r>
    <r>
      <rPr>
        <sz val="11"/>
        <rFont val="Carlito"/>
        <family val="2"/>
      </rPr>
      <t xml:space="preserve"> OperationID </t>
    </r>
    <r>
      <rPr>
        <sz val="11"/>
        <rFont val="Carlito"/>
      </rPr>
      <t>被复用于不同</t>
    </r>
    <r>
      <rPr>
        <sz val="11"/>
        <rFont val="Carlito"/>
        <family val="2"/>
      </rPr>
      <t xml:space="preserve"> payload</t>
    </r>
  </si>
  <si>
    <r>
      <t xml:space="preserve">App </t>
    </r>
    <r>
      <rPr>
        <sz val="11"/>
        <rFont val="Carlito"/>
      </rPr>
      <t>已有更新的决定，本次设备动作未覆盖</t>
    </r>
  </si>
  <si>
    <r>
      <t xml:space="preserve">App </t>
    </r>
    <r>
      <rPr>
        <sz val="11"/>
        <rFont val="Carlito"/>
      </rPr>
      <t>内部处理失败；设备保留上个已确认快照并可重试</t>
    </r>
  </si>
  <si>
    <r>
      <t>StatusCode</t>
    </r>
    <r>
      <rPr>
        <b/>
        <sz val="11"/>
        <rFont val="Carlito"/>
      </rPr>
      <t>（</t>
    </r>
    <r>
      <rPr>
        <b/>
        <sz val="11"/>
        <rFont val="Carlito"/>
        <family val="2"/>
      </rPr>
      <t>0x18 OTAResult</t>
    </r>
    <r>
      <rPr>
        <b/>
        <sz val="11"/>
        <rFont val="Carlito"/>
      </rPr>
      <t>）</t>
    </r>
  </si>
  <si>
    <r>
      <rPr>
        <sz val="11"/>
        <rFont val="Carlito"/>
      </rPr>
      <t>升级包检查通过，发应答后立即重启进入升级（</t>
    </r>
    <r>
      <rPr>
        <sz val="11"/>
        <rFont val="Carlito"/>
        <family val="2"/>
      </rPr>
      <t xml:space="preserve">BLE </t>
    </r>
    <r>
      <rPr>
        <sz val="11"/>
        <rFont val="Carlito"/>
      </rPr>
      <t>关闭约</t>
    </r>
    <r>
      <rPr>
        <sz val="11"/>
        <rFont val="Carlito"/>
        <family val="2"/>
      </rPr>
      <t xml:space="preserve"> 20 </t>
    </r>
    <r>
      <rPr>
        <sz val="11"/>
        <rFont val="Carlito"/>
      </rPr>
      <t>秒）</t>
    </r>
  </si>
  <si>
    <r>
      <rPr>
        <sz val="11"/>
        <rFont val="Carlito"/>
      </rPr>
      <t>无</t>
    </r>
    <r>
      <rPr>
        <sz val="11"/>
        <rFont val="Carlito"/>
        <family val="2"/>
      </rPr>
      <t xml:space="preserve"> update.bin</t>
    </r>
    <r>
      <rPr>
        <sz val="11"/>
        <rFont val="Carlito"/>
      </rPr>
      <t>；不重启</t>
    </r>
  </si>
  <si>
    <r>
      <rPr>
        <sz val="11"/>
        <rFont val="Carlito"/>
      </rPr>
      <t>文件大小异常（</t>
    </r>
    <r>
      <rPr>
        <sz val="11"/>
        <rFont val="Carlito"/>
        <family val="2"/>
      </rPr>
      <t xml:space="preserve">=0 </t>
    </r>
    <r>
      <rPr>
        <sz val="11"/>
        <rFont val="Carlito"/>
      </rPr>
      <t>或</t>
    </r>
    <r>
      <rPr>
        <sz val="11"/>
        <rFont val="Carlito"/>
        <family val="2"/>
      </rPr>
      <t xml:space="preserve"> &gt;3MB</t>
    </r>
    <r>
      <rPr>
        <sz val="11"/>
        <rFont val="Carlito"/>
      </rPr>
      <t>）；不重启</t>
    </r>
  </si>
  <si>
    <r>
      <t xml:space="preserve">SD </t>
    </r>
    <r>
      <rPr>
        <sz val="11"/>
        <rFont val="Carlito"/>
      </rPr>
      <t>卡未挂载；不重启</t>
    </r>
  </si>
  <si>
    <r>
      <rPr>
        <sz val="11"/>
        <rFont val="Carlito"/>
      </rPr>
      <t>升级写入失败；不重启</t>
    </r>
  </si>
  <si>
    <r>
      <rPr>
        <sz val="11"/>
        <rFont val="Carlito"/>
      </rPr>
      <t>未知错误；不重启</t>
    </r>
  </si>
  <si>
    <r>
      <t>StatusCode</t>
    </r>
    <r>
      <rPr>
        <b/>
        <sz val="11"/>
        <rFont val="Carlito"/>
      </rPr>
      <t>（</t>
    </r>
    <r>
      <rPr>
        <b/>
        <sz val="11"/>
        <rFont val="Carlito"/>
        <family val="2"/>
      </rPr>
      <t>0x19 WiFiDebugResult / 0x1A WiFiAvatarSessionResult Status</t>
    </r>
    <r>
      <rPr>
        <b/>
        <sz val="11"/>
        <rFont val="Carlito"/>
      </rPr>
      <t>）</t>
    </r>
  </si>
  <si>
    <r>
      <rPr>
        <sz val="11"/>
        <rFont val="Carlito"/>
      </rPr>
      <t>命令处理成功</t>
    </r>
  </si>
  <si>
    <r>
      <rPr>
        <sz val="11"/>
        <rFont val="Carlito"/>
      </rPr>
      <t>当前固件</t>
    </r>
    <r>
      <rPr>
        <sz val="11"/>
        <rFont val="Carlito"/>
        <family val="2"/>
      </rPr>
      <t>/</t>
    </r>
    <r>
      <rPr>
        <sz val="11"/>
        <rFont val="Carlito"/>
      </rPr>
      <t>硬件不支持（</t>
    </r>
    <r>
      <rPr>
        <sz val="11"/>
        <rFont val="Carlito"/>
        <family val="2"/>
      </rPr>
      <t xml:space="preserve">App </t>
    </r>
    <r>
      <rPr>
        <sz val="11"/>
        <rFont val="Carlito"/>
      </rPr>
      <t>回退</t>
    </r>
    <r>
      <rPr>
        <sz val="11"/>
        <rFont val="Carlito"/>
        <family val="2"/>
      </rPr>
      <t xml:space="preserve"> BLE 0x15</t>
    </r>
    <r>
      <rPr>
        <sz val="11"/>
        <rFont val="Carlito"/>
      </rPr>
      <t>）</t>
    </r>
  </si>
  <si>
    <r>
      <t xml:space="preserve">SoftAP </t>
    </r>
    <r>
      <rPr>
        <sz val="11"/>
        <rFont val="Carlito"/>
      </rPr>
      <t>被</t>
    </r>
    <r>
      <rPr>
        <sz val="11"/>
        <rFont val="Carlito"/>
        <family val="2"/>
      </rPr>
      <t xml:space="preserve"> 0x19 </t>
    </r>
    <r>
      <rPr>
        <sz val="11"/>
        <rFont val="Carlito"/>
      </rPr>
      <t>占用或另一会话进行中</t>
    </r>
  </si>
  <si>
    <r>
      <t xml:space="preserve">WiFi / SoftAP </t>
    </r>
    <r>
      <rPr>
        <sz val="11"/>
        <rFont val="Carlito"/>
      </rPr>
      <t>初始化失败</t>
    </r>
  </si>
  <si>
    <r>
      <rPr>
        <sz val="11"/>
        <rFont val="Carlito"/>
      </rPr>
      <t>命令值或</t>
    </r>
    <r>
      <rPr>
        <sz val="11"/>
        <rFont val="Carlito"/>
        <family val="2"/>
      </rPr>
      <t xml:space="preserve"> payload </t>
    </r>
    <r>
      <rPr>
        <sz val="11"/>
        <rFont val="Carlito"/>
      </rPr>
      <t>长度非法</t>
    </r>
  </si>
  <si>
    <r>
      <rPr>
        <sz val="11"/>
        <rFont val="Carlito"/>
      </rPr>
      <t>未知错误</t>
    </r>
  </si>
  <si>
    <r>
      <t>Status / AvatarState</t>
    </r>
    <r>
      <rPr>
        <b/>
        <sz val="11"/>
        <rFont val="Carlito"/>
      </rPr>
      <t>（</t>
    </r>
    <r>
      <rPr>
        <b/>
        <sz val="11"/>
        <rFont val="Carlito"/>
        <family val="2"/>
      </rPr>
      <t>0x22 AvatarControlResult</t>
    </r>
    <r>
      <rPr>
        <b/>
        <sz val="11"/>
        <rFont val="Carlito"/>
      </rPr>
      <t>）</t>
    </r>
  </si>
  <si>
    <r>
      <rPr>
        <sz val="11"/>
        <rFont val="Carlito"/>
      </rPr>
      <t>候选图已暂存（</t>
    </r>
    <r>
      <rPr>
        <sz val="11"/>
        <rFont val="Carlito"/>
        <family val="2"/>
      </rPr>
      <t>Status</t>
    </r>
    <r>
      <rPr>
        <sz val="11"/>
        <rFont val="Carlito"/>
      </rPr>
      <t>）；</t>
    </r>
    <r>
      <rPr>
        <sz val="11"/>
        <rFont val="Carlito"/>
        <family val="2"/>
      </rPr>
      <t xml:space="preserve">AvatarState=staged </t>
    </r>
    <r>
      <rPr>
        <sz val="11"/>
        <rFont val="Carlito"/>
      </rPr>
      <t>表示指向</t>
    </r>
    <r>
      <rPr>
        <sz val="11"/>
        <rFont val="Carlito"/>
        <family val="2"/>
      </rPr>
      <t xml:space="preserve"> staged </t>
    </r>
    <r>
      <rPr>
        <sz val="11"/>
        <rFont val="Carlito"/>
      </rPr>
      <t>候选</t>
    </r>
  </si>
  <si>
    <r>
      <rPr>
        <sz val="11"/>
        <rFont val="Carlito"/>
      </rPr>
      <t>已原子替换并启用（</t>
    </r>
    <r>
      <rPr>
        <sz val="11"/>
        <rFont val="Carlito"/>
        <family val="2"/>
      </rPr>
      <t>Status</t>
    </r>
    <r>
      <rPr>
        <sz val="11"/>
        <rFont val="Carlito"/>
      </rPr>
      <t>）；</t>
    </r>
    <r>
      <rPr>
        <sz val="11"/>
        <rFont val="Carlito"/>
        <family val="2"/>
      </rPr>
      <t xml:space="preserve">AvatarState=committed </t>
    </r>
    <r>
      <rPr>
        <sz val="11"/>
        <rFont val="Carlito"/>
      </rPr>
      <t>表示正式库存</t>
    </r>
  </si>
  <si>
    <r>
      <t>erased</t>
    </r>
    <r>
      <rPr>
        <sz val="11"/>
        <rFont val="Carlito"/>
      </rPr>
      <t>（</t>
    </r>
    <r>
      <rPr>
        <sz val="11"/>
        <rFont val="Carlito"/>
        <family val="2"/>
      </rPr>
      <t>Status</t>
    </r>
    <r>
      <rPr>
        <sz val="11"/>
        <rFont val="Carlito"/>
      </rPr>
      <t>）</t>
    </r>
  </si>
  <si>
    <r>
      <rPr>
        <sz val="11"/>
        <rFont val="Carlito"/>
      </rPr>
      <t>擦除并重建分区成功</t>
    </r>
  </si>
  <si>
    <r>
      <t>state</t>
    </r>
    <r>
      <rPr>
        <sz val="11"/>
        <rFont val="Carlito"/>
      </rPr>
      <t>（</t>
    </r>
    <r>
      <rPr>
        <sz val="11"/>
        <rFont val="Carlito"/>
        <family val="2"/>
      </rPr>
      <t>Status</t>
    </r>
    <r>
      <rPr>
        <sz val="11"/>
        <rFont val="Carlito"/>
      </rPr>
      <t>）</t>
    </r>
  </si>
  <si>
    <r>
      <t xml:space="preserve">query </t>
    </r>
    <r>
      <rPr>
        <sz val="11"/>
        <rFont val="Carlito"/>
      </rPr>
      <t>返回当前状态</t>
    </r>
  </si>
  <si>
    <r>
      <t>aborted</t>
    </r>
    <r>
      <rPr>
        <sz val="11"/>
        <rFont val="Carlito"/>
      </rPr>
      <t>（</t>
    </r>
    <r>
      <rPr>
        <sz val="11"/>
        <rFont val="Carlito"/>
        <family val="2"/>
      </rPr>
      <t>Status</t>
    </r>
    <r>
      <rPr>
        <sz val="11"/>
        <rFont val="Carlito"/>
      </rPr>
      <t>）</t>
    </r>
  </si>
  <si>
    <r>
      <rPr>
        <sz val="11"/>
        <rFont val="Carlito"/>
      </rPr>
      <t>已取消事务</t>
    </r>
  </si>
  <si>
    <r>
      <t>empty</t>
    </r>
    <r>
      <rPr>
        <sz val="11"/>
        <rFont val="Carlito"/>
      </rPr>
      <t>（</t>
    </r>
    <r>
      <rPr>
        <sz val="11"/>
        <rFont val="Carlito"/>
        <family val="2"/>
      </rPr>
      <t>AvatarState</t>
    </r>
    <r>
      <rPr>
        <sz val="11"/>
        <rFont val="Carlito"/>
      </rPr>
      <t>）</t>
    </r>
  </si>
  <si>
    <r>
      <rPr>
        <sz val="11"/>
        <rFont val="Carlito"/>
      </rPr>
      <t>无头像文件</t>
    </r>
  </si>
  <si>
    <r>
      <rPr>
        <i/>
        <sz val="9"/>
        <rFont val="Carlito"/>
      </rPr>
      <t>约定：以上取值均为字节值</t>
    </r>
    <r>
      <rPr>
        <i/>
        <sz val="9"/>
        <rFont val="Carlito"/>
        <family val="2"/>
      </rPr>
      <t>/</t>
    </r>
    <r>
      <rPr>
        <i/>
        <sz val="9"/>
        <rFont val="Carlito"/>
      </rPr>
      <t>字面值；来源：</t>
    </r>
    <r>
      <rPr>
        <i/>
        <sz val="9"/>
        <rFont val="Carlito"/>
        <family val="2"/>
      </rPr>
      <t xml:space="preserve">Kirole BLE </t>
    </r>
    <r>
      <rPr>
        <i/>
        <sz val="9"/>
        <rFont val="Carlito"/>
      </rPr>
      <t>通信协议规格文档</t>
    </r>
    <r>
      <rPr>
        <i/>
        <sz val="9"/>
        <rFont val="Carlito"/>
        <family val="2"/>
      </rPr>
      <t xml:space="preserve"> 2.10.1</t>
    </r>
    <r>
      <rPr>
        <i/>
        <sz val="9"/>
        <rFont val="Carlito"/>
      </rPr>
      <t>。</t>
    </r>
  </si>
  <si>
    <r>
      <t>FocusState</t>
    </r>
    <r>
      <rPr>
        <b/>
        <sz val="11"/>
        <rFont val="Carlito"/>
      </rPr>
      <t>（</t>
    </r>
    <r>
      <rPr>
        <b/>
        <sz val="11"/>
        <rFont val="Carlito"/>
        <family val="2"/>
      </rPr>
      <t>0x14 / 0x25</t>
    </r>
    <r>
      <rPr>
        <b/>
        <sz val="11"/>
        <rFont val="Carlito"/>
      </rPr>
      <t>，</t>
    </r>
    <r>
      <rPr>
        <b/>
        <sz val="11"/>
        <rFont val="Carlito"/>
        <family val="2"/>
      </rPr>
      <t>v1.2.0</t>
    </r>
    <r>
      <rPr>
        <b/>
        <sz val="11"/>
        <rFont val="Carlito"/>
      </rPr>
      <t>）</t>
    </r>
  </si>
  <si>
    <r>
      <rPr>
        <sz val="11"/>
        <rFont val="Carlito"/>
      </rPr>
      <t>值</t>
    </r>
  </si>
  <si>
    <r>
      <rPr>
        <sz val="11"/>
        <rFont val="Carlito"/>
      </rPr>
      <t>名称</t>
    </r>
    <r>
      <rPr>
        <sz val="11"/>
        <rFont val="Carlito"/>
        <family val="2"/>
      </rPr>
      <t>/</t>
    </r>
    <r>
      <rPr>
        <sz val="11"/>
        <rFont val="Carlito"/>
      </rPr>
      <t>说明</t>
    </r>
  </si>
  <si>
    <r>
      <rPr>
        <sz val="11"/>
        <rFont val="Carlito"/>
      </rPr>
      <t>补充说明</t>
    </r>
  </si>
  <si>
    <r>
      <rPr>
        <sz val="11"/>
        <rFont val="Carlito"/>
      </rPr>
      <t>无活动专注会话</t>
    </r>
  </si>
  <si>
    <r>
      <rPr>
        <sz val="11"/>
        <rFont val="Carlito"/>
      </rPr>
      <t>会话正在计时</t>
    </r>
  </si>
  <si>
    <r>
      <rPr>
        <sz val="11"/>
        <rFont val="Carlito"/>
      </rPr>
      <t>本地已结束但结束操作尚未完成裁决</t>
    </r>
  </si>
  <si>
    <r>
      <t>StartSource / EndReason / FocusResolveResult</t>
    </r>
    <r>
      <rPr>
        <b/>
        <sz val="11"/>
        <rFont val="Carlito"/>
      </rPr>
      <t>（</t>
    </r>
    <r>
      <rPr>
        <b/>
        <sz val="11"/>
        <rFont val="Carlito"/>
        <family val="2"/>
      </rPr>
      <t>v1.2.0</t>
    </r>
    <r>
      <rPr>
        <b/>
        <sz val="11"/>
        <rFont val="Carlito"/>
      </rPr>
      <t>）</t>
    </r>
  </si>
  <si>
    <r>
      <rPr>
        <sz val="11"/>
        <rFont val="Carlito"/>
      </rPr>
      <t>线上建立；重连继续沿用</t>
    </r>
    <r>
      <rPr>
        <sz val="11"/>
        <rFont val="Carlito"/>
        <family val="2"/>
      </rPr>
      <t xml:space="preserve"> App </t>
    </r>
    <r>
      <rPr>
        <sz val="11"/>
        <rFont val="Carlito"/>
      </rPr>
      <t>原始开始时间</t>
    </r>
  </si>
  <si>
    <r>
      <rPr>
        <sz val="11"/>
        <rFont val="Carlito"/>
      </rPr>
      <t>断连期间设备按键建立；首次同步采用设备开始时间</t>
    </r>
  </si>
  <si>
    <r>
      <rPr>
        <sz val="11"/>
        <rFont val="Carlito"/>
      </rPr>
      <t>活动会话，无结束原因</t>
    </r>
  </si>
  <si>
    <r>
      <rPr>
        <sz val="11"/>
        <rFont val="Carlito"/>
      </rPr>
      <t>设备短按完成</t>
    </r>
  </si>
  <si>
    <r>
      <rPr>
        <sz val="11"/>
        <rFont val="Carlito"/>
      </rPr>
      <t>设备长按跳过</t>
    </r>
  </si>
  <si>
    <r>
      <t xml:space="preserve">App </t>
    </r>
    <r>
      <rPr>
        <sz val="11"/>
        <rFont val="Carlito"/>
      </rPr>
      <t>已结束或撤挡板</t>
    </r>
  </si>
  <si>
    <r>
      <rPr>
        <sz val="11"/>
        <rFont val="Carlito"/>
      </rPr>
      <t>设备状态已接受并成为权威状态</t>
    </r>
  </si>
  <si>
    <r>
      <rPr>
        <sz val="11"/>
        <rFont val="Carlito"/>
      </rPr>
      <t>结束优先；会话已关闭</t>
    </r>
  </si>
  <si>
    <r>
      <rPr>
        <sz val="11"/>
        <rFont val="Carlito"/>
      </rPr>
      <t>不同活动会话已按规则归并</t>
    </r>
  </si>
  <si>
    <r>
      <rPr>
        <sz val="11"/>
        <rFont val="Carlito"/>
      </rPr>
      <t>载荷或会话关系非法；设备保留队列</t>
    </r>
  </si>
  <si>
    <r>
      <t xml:space="preserve">App </t>
    </r>
    <r>
      <rPr>
        <sz val="11"/>
        <rFont val="Carlito"/>
      </rPr>
      <t>内部错误；设备保留并重试</t>
    </r>
  </si>
  <si>
    <r>
      <t>Device →</t>
    </r>
    <r>
      <rPr>
        <b/>
        <sz val="15"/>
        <rFont val="Carlito"/>
        <family val="2"/>
      </rPr>
      <t xml:space="preserve"> App </t>
    </r>
    <r>
      <rPr>
        <b/>
        <sz val="15"/>
        <rFont val="Carlito"/>
      </rPr>
      <t>事件详解（二）：任务动作与应答</t>
    </r>
  </si>
  <si>
    <r>
      <rPr>
        <sz val="10"/>
        <rFont val="Carlito"/>
      </rPr>
      <t>单位：字节（</t>
    </r>
    <r>
      <rPr>
        <sz val="10"/>
        <rFont val="Carlito"/>
        <family val="2"/>
      </rPr>
      <t>Byte</t>
    </r>
    <r>
      <rPr>
        <sz val="10"/>
        <rFont val="Carlito"/>
      </rPr>
      <t>）；</t>
    </r>
    <r>
      <rPr>
        <sz val="10"/>
        <rFont val="Carlito"/>
        <family val="2"/>
      </rPr>
      <t xml:space="preserve">1+N = 1 </t>
    </r>
    <r>
      <rPr>
        <sz val="10"/>
        <rFont val="Carlito"/>
      </rPr>
      <t>字节长度前缀</t>
    </r>
    <r>
      <rPr>
        <sz val="10"/>
        <rFont val="Carlito"/>
        <family val="2"/>
      </rPr>
      <t xml:space="preserve"> + N </t>
    </r>
    <r>
      <rPr>
        <sz val="10"/>
        <rFont val="Carlito"/>
      </rPr>
      <t>字节内容；简单事件包帧长</t>
    </r>
    <r>
      <rPr>
        <sz val="10"/>
        <rFont val="Carlito"/>
        <family val="2"/>
      </rPr>
      <t xml:space="preserve"> = 2 + Payload</t>
    </r>
  </si>
  <si>
    <r>
      <t>§5.4  CompleteTask</t>
    </r>
    <r>
      <rPr>
        <b/>
        <sz val="11"/>
        <rFont val="Carlito"/>
      </rPr>
      <t>（</t>
    </r>
    <r>
      <rPr>
        <b/>
        <sz val="11"/>
        <rFont val="Carlito"/>
        <family val="2"/>
      </rPr>
      <t>0x11</t>
    </r>
    <r>
      <rPr>
        <b/>
        <sz val="11"/>
        <rFont val="Carlito"/>
      </rPr>
      <t>，</t>
    </r>
    <r>
      <rPr>
        <b/>
        <sz val="11"/>
        <rFont val="Carlito"/>
        <family val="2"/>
      </rPr>
      <t>SubVersion 0x02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</si>
  <si>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）｜用途：完成任务并结束专注会话；断连时设备立即退出并排队，不等待</t>
    </r>
    <r>
      <rPr>
        <sz val="9"/>
        <rFont val="Carlito"/>
        <family val="2"/>
      </rPr>
      <t xml:space="preserve"> ACK</t>
    </r>
    <r>
      <rPr>
        <sz val="9"/>
        <rFont val="Carlito"/>
      </rPr>
      <t>；详见「专注重连</t>
    </r>
    <r>
      <rPr>
        <sz val="9"/>
        <rFont val="Carlito"/>
        <family val="2"/>
      </rPr>
      <t>-1.2</t>
    </r>
    <r>
      <rPr>
        <sz val="9"/>
        <rFont val="Carlito"/>
      </rPr>
      <t>」页</t>
    </r>
  </si>
  <si>
    <r>
      <rPr>
        <b/>
        <sz val="10"/>
        <rFont val="Carlito"/>
      </rPr>
      <t>偏移</t>
    </r>
    <r>
      <rPr>
        <b/>
        <sz val="10"/>
        <rFont val="Carlito"/>
        <family val="2"/>
      </rPr>
      <t>(</t>
    </r>
    <r>
      <rPr>
        <b/>
        <sz val="10"/>
        <rFont val="Carlito"/>
      </rPr>
      <t>字节</t>
    </r>
    <r>
      <rPr>
        <b/>
        <sz val="10"/>
        <rFont val="Carlito"/>
        <family val="2"/>
      </rPr>
      <t>)</t>
    </r>
  </si>
  <si>
    <r>
      <rPr>
        <b/>
        <sz val="10"/>
        <rFont val="Carlito"/>
      </rPr>
      <t>字段</t>
    </r>
  </si>
  <si>
    <r>
      <rPr>
        <b/>
        <sz val="10"/>
        <rFont val="Carlito"/>
      </rPr>
      <t>大小</t>
    </r>
    <r>
      <rPr>
        <b/>
        <sz val="10"/>
        <rFont val="Carlito"/>
        <family val="2"/>
      </rPr>
      <t>(</t>
    </r>
    <r>
      <rPr>
        <b/>
        <sz val="10"/>
        <rFont val="Carlito"/>
      </rPr>
      <t>字节</t>
    </r>
    <r>
      <rPr>
        <b/>
        <sz val="10"/>
        <rFont val="Carlito"/>
        <family val="2"/>
      </rPr>
      <t>)</t>
    </r>
  </si>
  <si>
    <r>
      <rPr>
        <b/>
        <sz val="10"/>
        <rFont val="Carlito"/>
      </rPr>
      <t>上限</t>
    </r>
    <r>
      <rPr>
        <b/>
        <sz val="10"/>
        <rFont val="Carlito"/>
        <family val="2"/>
      </rPr>
      <t>(</t>
    </r>
    <r>
      <rPr>
        <b/>
        <sz val="10"/>
        <rFont val="Carlito"/>
      </rPr>
      <t>字节</t>
    </r>
    <r>
      <rPr>
        <b/>
        <sz val="10"/>
        <rFont val="Carlito"/>
        <family val="2"/>
      </rPr>
      <t>)</t>
    </r>
  </si>
  <si>
    <r>
      <rPr>
        <b/>
        <sz val="10"/>
        <rFont val="Carlito"/>
      </rPr>
      <t>取值</t>
    </r>
    <r>
      <rPr>
        <b/>
        <sz val="10"/>
        <rFont val="Carlito"/>
        <family val="2"/>
      </rPr>
      <t>/</t>
    </r>
    <r>
      <rPr>
        <b/>
        <sz val="10"/>
        <rFont val="Carlito"/>
      </rPr>
      <t>枚举</t>
    </r>
  </si>
  <si>
    <r>
      <rPr>
        <b/>
        <sz val="10"/>
        <rFont val="Carlito"/>
      </rPr>
      <t>说明</t>
    </r>
  </si>
  <si>
    <r>
      <t xml:space="preserve">OperationID </t>
    </r>
    <r>
      <rPr>
        <sz val="11"/>
        <rFont val="Carlito"/>
      </rPr>
      <t>非零；事件类型隐含结束原因</t>
    </r>
  </si>
  <si>
    <r>
      <t xml:space="preserve">TaskId UTF-8 </t>
    </r>
    <r>
      <rPr>
        <sz val="11"/>
        <rFont val="Carlito"/>
      </rPr>
      <t>字节数</t>
    </r>
  </si>
  <si>
    <r>
      <rPr>
        <sz val="11"/>
        <rFont val="Carlito"/>
      </rPr>
      <t>与专注会话绑定的任务</t>
    </r>
    <r>
      <rPr>
        <sz val="11"/>
        <rFont val="Carlito"/>
        <family val="2"/>
      </rPr>
      <t xml:space="preserve"> ID</t>
    </r>
  </si>
  <si>
    <r>
      <rPr>
        <sz val="11"/>
        <rFont val="Carlito"/>
      </rPr>
      <t>本地按键实际结束时间</t>
    </r>
  </si>
  <si>
    <r>
      <rPr>
        <sz val="11"/>
        <rFont val="Carlito"/>
      </rPr>
      <t>本会话设备累计秒数，用于重连校准</t>
    </r>
  </si>
  <si>
    <r>
      <t xml:space="preserve">Payload </t>
    </r>
    <r>
      <rPr>
        <b/>
        <sz val="10"/>
        <rFont val="Carlito"/>
      </rPr>
      <t>总长（字节）</t>
    </r>
  </si>
  <si>
    <r>
      <rPr>
        <b/>
        <sz val="10"/>
        <rFont val="Carlito"/>
      </rPr>
      <t>完整帧长（字节）</t>
    </r>
  </si>
  <si>
    <r>
      <t>2 + Payload</t>
    </r>
    <r>
      <rPr>
        <sz val="11"/>
        <rFont val="Carlito"/>
      </rPr>
      <t>（变长）</t>
    </r>
  </si>
  <si>
    <r>
      <rPr>
        <sz val="9"/>
        <rFont val="Carlito"/>
      </rPr>
      <t>简单事件包：</t>
    </r>
    <r>
      <rPr>
        <sz val="9"/>
        <rFont val="Carlito"/>
        <family val="2"/>
      </rPr>
      <t>Type(1B) + Length(1B) + Payload</t>
    </r>
  </si>
  <si>
    <r>
      <t>§5.5  SkipTask</t>
    </r>
    <r>
      <rPr>
        <b/>
        <sz val="11"/>
        <rFont val="Carlito"/>
      </rPr>
      <t>（</t>
    </r>
    <r>
      <rPr>
        <b/>
        <sz val="11"/>
        <rFont val="Carlito"/>
        <family val="2"/>
      </rPr>
      <t>0x12</t>
    </r>
    <r>
      <rPr>
        <b/>
        <sz val="11"/>
        <rFont val="Carlito"/>
      </rPr>
      <t>，</t>
    </r>
    <r>
      <rPr>
        <b/>
        <sz val="11"/>
        <rFont val="Carlito"/>
        <family val="2"/>
      </rPr>
      <t>SubVersion 0x02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</si>
  <si>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）｜用途：跳过任务并结束专注会话；断连时设备立即退出并排队，不等待</t>
    </r>
    <r>
      <rPr>
        <sz val="9"/>
        <rFont val="Carlito"/>
        <family val="2"/>
      </rPr>
      <t xml:space="preserve"> ACK</t>
    </r>
    <r>
      <rPr>
        <sz val="9"/>
        <rFont val="Carlito"/>
      </rPr>
      <t>；详见「专注重连</t>
    </r>
    <r>
      <rPr>
        <sz val="9"/>
        <rFont val="Carlito"/>
        <family val="2"/>
      </rPr>
      <t>-1.2</t>
    </r>
    <r>
      <rPr>
        <sz val="9"/>
        <rFont val="Carlito"/>
      </rPr>
      <t>」页</t>
    </r>
  </si>
  <si>
    <r>
      <t>§5.17  OTAResult</t>
    </r>
    <r>
      <rPr>
        <b/>
        <sz val="11"/>
        <rFont val="Carlito"/>
      </rPr>
      <t>（</t>
    </r>
    <r>
      <rPr>
        <b/>
        <sz val="11"/>
        <rFont val="Carlito"/>
        <family val="2"/>
      </rPr>
      <t>0x18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</si>
  <si>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</t>
    </r>
    <r>
      <rPr>
        <sz val="9"/>
        <rFont val="Carlito"/>
        <family val="2"/>
      </rPr>
      <t xml:space="preserve">OTAReboot(0x18) </t>
    </r>
    <r>
      <rPr>
        <sz val="9"/>
        <rFont val="Carlito"/>
      </rPr>
      <t>的应答事件｜方向双义；</t>
    </r>
    <r>
      <rPr>
        <sz val="9"/>
        <rFont val="Carlito"/>
        <family val="2"/>
      </rPr>
      <t xml:space="preserve">secure </t>
    </r>
    <r>
      <rPr>
        <sz val="9"/>
        <rFont val="Carlito"/>
      </rPr>
      <t>模式必须经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</si>
  <si>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t>0x00=OK_START_UPGRADE</t>
    </r>
    <r>
      <rPr>
        <sz val="11"/>
        <rFont val="Carlito"/>
      </rPr>
      <t>；</t>
    </r>
    <r>
      <rPr>
        <sz val="11"/>
        <rFont val="Carlito"/>
        <family val="2"/>
      </rPr>
      <t>0x01–0x04</t>
    </r>
    <r>
      <rPr>
        <sz val="11"/>
        <rFont val="Carlito"/>
      </rPr>
      <t>、</t>
    </r>
    <r>
      <rPr>
        <sz val="11"/>
        <rFont val="Carlito"/>
        <family val="2"/>
      </rPr>
      <t xml:space="preserve">0xFF </t>
    </r>
    <r>
      <rPr>
        <sz val="11"/>
        <rFont val="Carlito"/>
      </rPr>
      <t>为各类错误（详见「枚举与状态码」页）</t>
    </r>
  </si>
  <si>
    <r>
      <rPr>
        <sz val="9"/>
        <rFont val="Carlito"/>
      </rPr>
      <t>固定长度（字段均为定长字节）</t>
    </r>
  </si>
  <si>
    <r>
      <t>§5.18  WiFiDebugResult</t>
    </r>
    <r>
      <rPr>
        <b/>
        <sz val="11"/>
        <rFont val="Carlito"/>
      </rPr>
      <t>（</t>
    </r>
    <r>
      <rPr>
        <b/>
        <sz val="11"/>
        <rFont val="Carlito"/>
        <family val="2"/>
      </rPr>
      <t>0x19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</si>
  <si>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</t>
    </r>
    <r>
      <rPr>
        <sz val="9"/>
        <rFont val="Carlito"/>
        <family val="2"/>
      </rPr>
      <t xml:space="preserve">WiFiDebugMode(0x19) </t>
    </r>
    <r>
      <rPr>
        <sz val="9"/>
        <rFont val="Carlito"/>
      </rPr>
      <t>的实时应答｜固定</t>
    </r>
    <r>
      <rPr>
        <sz val="9"/>
        <rFont val="Carlito"/>
        <family val="2"/>
      </rPr>
      <t xml:space="preserve"> 2 </t>
    </r>
    <r>
      <rPr>
        <sz val="9"/>
        <rFont val="Carlito"/>
      </rPr>
      <t>字节；明文帧示例：</t>
    </r>
    <r>
      <rPr>
        <sz val="9"/>
        <rFont val="Carlito"/>
        <family val="2"/>
      </rPr>
      <t>19 02 01 00</t>
    </r>
    <r>
      <rPr>
        <sz val="9"/>
        <rFont val="Carlito"/>
      </rPr>
      <t>（开启成功）；明文（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</si>
  <si>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当前实际状态（不是请求目标值）；其他值非法</t>
    </r>
  </si>
  <si>
    <r>
      <t>0x00=OK</t>
    </r>
    <r>
      <rPr>
        <sz val="11"/>
        <rFont val="Carlito"/>
      </rPr>
      <t>，</t>
    </r>
    <r>
      <rPr>
        <sz val="11"/>
        <rFont val="Carlito"/>
        <family val="2"/>
      </rPr>
      <t>0x01–0x04</t>
    </r>
    <r>
      <rPr>
        <sz val="11"/>
        <rFont val="Carlito"/>
      </rPr>
      <t>、</t>
    </r>
    <r>
      <rPr>
        <sz val="11"/>
        <rFont val="Carlito"/>
        <family val="2"/>
      </rPr>
      <t xml:space="preserve">0xFF </t>
    </r>
    <r>
      <rPr>
        <sz val="11"/>
        <rFont val="Carlito"/>
      </rPr>
      <t>为错误（详见枚举页）</t>
    </r>
  </si>
  <si>
    <r>
      <t>§5.20  WiFiAvatarSessionResult</t>
    </r>
    <r>
      <rPr>
        <b/>
        <sz val="11"/>
        <rFont val="Carlito"/>
      </rPr>
      <t>（</t>
    </r>
    <r>
      <rPr>
        <b/>
        <sz val="11"/>
        <rFont val="Carlito"/>
        <family val="2"/>
      </rPr>
      <t>0x1A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</si>
  <si>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</t>
    </r>
    <r>
      <rPr>
        <sz val="9"/>
        <rFont val="Carlito"/>
        <family val="2"/>
      </rPr>
      <t xml:space="preserve">WiFiAvatarSession(0x1A) </t>
    </r>
    <r>
      <rPr>
        <sz val="9"/>
        <rFont val="Carlito"/>
      </rPr>
      <t>的实时应答｜</t>
    </r>
    <r>
      <rPr>
        <sz val="9"/>
        <rFont val="Carlito"/>
        <family val="2"/>
      </rPr>
      <t xml:space="preserve">open </t>
    </r>
    <r>
      <rPr>
        <sz val="9"/>
        <rFont val="Carlito"/>
      </rPr>
      <t>成功时携带一次性热点凭据</t>
    </r>
    <r>
      <rPr>
        <sz val="9"/>
        <rFont val="Carlito"/>
        <family val="2"/>
      </rPr>
      <t xml:space="preserve"> + HTTP </t>
    </r>
    <r>
      <rPr>
        <sz val="9"/>
        <rFont val="Carlito"/>
      </rPr>
      <t>收图端点；明文（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</si>
  <si>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原样回显</t>
    </r>
    <r>
      <rPr>
        <sz val="11"/>
        <rFont val="Carlito"/>
        <family val="2"/>
      </rPr>
      <t xml:space="preserve"> open/close/query</t>
    </r>
  </si>
  <si>
    <r>
      <rPr>
        <sz val="11"/>
        <rFont val="Carlito"/>
      </rPr>
      <t>原样回显请求中的</t>
    </r>
    <r>
      <rPr>
        <sz val="11"/>
        <rFont val="Carlito"/>
        <family val="2"/>
      </rPr>
      <t xml:space="preserve"> OperationID</t>
    </r>
  </si>
  <si>
    <r>
      <rPr>
        <sz val="11"/>
        <rFont val="Carlito"/>
      </rPr>
      <t>本次命令处理结果（同</t>
    </r>
    <r>
      <rPr>
        <sz val="11"/>
        <rFont val="Carlito"/>
        <family val="2"/>
      </rPr>
      <t xml:space="preserve"> WiFiDebugResult </t>
    </r>
    <r>
      <rPr>
        <sz val="11"/>
        <rFont val="Carlito"/>
      </rPr>
      <t>状态码）</t>
    </r>
  </si>
  <si>
    <r>
      <t xml:space="preserve">SoftAP </t>
    </r>
    <r>
      <rPr>
        <sz val="11"/>
        <rFont val="Carlito"/>
      </rPr>
      <t>名称；非</t>
    </r>
    <r>
      <rPr>
        <sz val="11"/>
        <rFont val="Carlito"/>
        <family val="2"/>
      </rPr>
      <t xml:space="preserve"> open </t>
    </r>
    <r>
      <rPr>
        <sz val="11"/>
        <rFont val="Carlito"/>
      </rPr>
      <t>成功时</t>
    </r>
    <r>
      <rPr>
        <sz val="11"/>
        <rFont val="Carlito"/>
        <family val="2"/>
      </rPr>
      <t xml:space="preserve"> N1=0</t>
    </r>
  </si>
  <si>
    <r>
      <t xml:space="preserve">SoftAP </t>
    </r>
    <r>
      <rPr>
        <sz val="11"/>
        <rFont val="Carlito"/>
      </rPr>
      <t>密码（</t>
    </r>
    <r>
      <rPr>
        <sz val="11"/>
        <rFont val="Carlito"/>
        <family val="2"/>
      </rPr>
      <t>WPA2</t>
    </r>
    <r>
      <rPr>
        <sz val="11"/>
        <rFont val="Carlito"/>
      </rPr>
      <t>）；</t>
    </r>
    <r>
      <rPr>
        <sz val="11"/>
        <rFont val="Carlito"/>
        <family val="2"/>
      </rPr>
      <t xml:space="preserve">0 </t>
    </r>
    <r>
      <rPr>
        <sz val="11"/>
        <rFont val="Carlito"/>
      </rPr>
      <t>表示开放网络；非</t>
    </r>
    <r>
      <rPr>
        <sz val="11"/>
        <rFont val="Carlito"/>
        <family val="2"/>
      </rPr>
      <t xml:space="preserve"> open </t>
    </r>
    <r>
      <rPr>
        <sz val="11"/>
        <rFont val="Carlito"/>
      </rPr>
      <t>成功时</t>
    </r>
    <r>
      <rPr>
        <sz val="11"/>
        <rFont val="Carlito"/>
        <family val="2"/>
      </rPr>
      <t xml:space="preserve"> N2=0</t>
    </r>
  </si>
  <si>
    <r>
      <t xml:space="preserve">IPv4 </t>
    </r>
    <r>
      <rPr>
        <sz val="11"/>
        <rFont val="Carlito"/>
      </rPr>
      <t>大端</t>
    </r>
  </si>
  <si>
    <r>
      <t xml:space="preserve">SoftAP </t>
    </r>
    <r>
      <rPr>
        <sz val="11"/>
        <rFont val="Carlito"/>
      </rPr>
      <t>网关，通常</t>
    </r>
    <r>
      <rPr>
        <sz val="11"/>
        <rFont val="Carlito"/>
        <family val="2"/>
      </rPr>
      <t xml:space="preserve"> C0 A8 04 01 = 192.168.4.1</t>
    </r>
    <r>
      <rPr>
        <sz val="11"/>
        <rFont val="Carlito"/>
      </rPr>
      <t>；非</t>
    </r>
    <r>
      <rPr>
        <sz val="11"/>
        <rFont val="Carlito"/>
        <family val="2"/>
      </rPr>
      <t xml:space="preserve"> open </t>
    </r>
    <r>
      <rPr>
        <sz val="11"/>
        <rFont val="Carlito"/>
      </rPr>
      <t>成功时填</t>
    </r>
    <r>
      <rPr>
        <sz val="11"/>
        <rFont val="Carlito"/>
        <family val="2"/>
      </rPr>
      <t xml:space="preserve"> 0</t>
    </r>
  </si>
  <si>
    <r>
      <t xml:space="preserve">HTTP </t>
    </r>
    <r>
      <rPr>
        <sz val="11"/>
        <rFont val="Carlito"/>
      </rPr>
      <t>收图端点端口（如</t>
    </r>
    <r>
      <rPr>
        <sz val="11"/>
        <rFont val="Carlito"/>
        <family val="2"/>
      </rPr>
      <t xml:space="preserve"> 80/8080</t>
    </r>
    <r>
      <rPr>
        <sz val="11"/>
        <rFont val="Carlito"/>
      </rPr>
      <t>）；非</t>
    </r>
    <r>
      <rPr>
        <sz val="11"/>
        <rFont val="Carlito"/>
        <family val="2"/>
      </rPr>
      <t xml:space="preserve"> open </t>
    </r>
    <r>
      <rPr>
        <sz val="11"/>
        <rFont val="Carlito"/>
      </rPr>
      <t>成功时填</t>
    </r>
    <r>
      <rPr>
        <sz val="11"/>
        <rFont val="Carlito"/>
        <family val="2"/>
      </rPr>
      <t xml:space="preserve"> 0</t>
    </r>
  </si>
  <si>
    <r>
      <t xml:space="preserve">HTTP </t>
    </r>
    <r>
      <rPr>
        <sz val="11"/>
        <rFont val="Carlito"/>
      </rPr>
      <t>收图端点路径（如</t>
    </r>
    <r>
      <rPr>
        <sz val="11"/>
        <rFont val="Carlito"/>
        <family val="2"/>
      </rPr>
      <t xml:space="preserve"> /avatar</t>
    </r>
    <r>
      <rPr>
        <sz val="11"/>
        <rFont val="Carlito"/>
      </rPr>
      <t>）；非</t>
    </r>
    <r>
      <rPr>
        <sz val="11"/>
        <rFont val="Carlito"/>
        <family val="2"/>
      </rPr>
      <t xml:space="preserve"> open </t>
    </r>
    <r>
      <rPr>
        <sz val="11"/>
        <rFont val="Carlito"/>
      </rPr>
      <t>成功时</t>
    </r>
    <r>
      <rPr>
        <sz val="11"/>
        <rFont val="Carlito"/>
        <family val="2"/>
      </rPr>
      <t xml:space="preserve"> N3=0</t>
    </r>
  </si>
  <si>
    <r>
      <rPr>
        <sz val="11"/>
        <rFont val="Carlito"/>
      </rPr>
      <t>会话一次性</t>
    </r>
    <r>
      <rPr>
        <sz val="11"/>
        <rFont val="Carlito"/>
        <family val="2"/>
      </rPr>
      <t xml:space="preserve"> Bearer token</t>
    </r>
    <r>
      <rPr>
        <sz val="11"/>
        <rFont val="Carlito"/>
      </rPr>
      <t>（绑</t>
    </r>
    <r>
      <rPr>
        <sz val="11"/>
        <rFont val="Carlito"/>
        <family val="2"/>
      </rPr>
      <t xml:space="preserve"> OperationID</t>
    </r>
    <r>
      <rPr>
        <sz val="11"/>
        <rFont val="Carlito"/>
      </rPr>
      <t>）；非</t>
    </r>
    <r>
      <rPr>
        <sz val="11"/>
        <rFont val="Carlito"/>
        <family val="2"/>
      </rPr>
      <t xml:space="preserve"> open </t>
    </r>
    <r>
      <rPr>
        <sz val="11"/>
        <rFont val="Carlito"/>
      </rPr>
      <t>成功时</t>
    </r>
    <r>
      <rPr>
        <sz val="11"/>
        <rFont val="Carlito"/>
        <family val="2"/>
      </rPr>
      <t xml:space="preserve"> N4=0</t>
    </r>
  </si>
  <si>
    <r>
      <t xml:space="preserve">SoftAP </t>
    </r>
    <r>
      <rPr>
        <sz val="11"/>
        <rFont val="Carlito"/>
      </rPr>
      <t>等待上传存活秒数（如</t>
    </r>
    <r>
      <rPr>
        <sz val="11"/>
        <rFont val="Carlito"/>
        <family val="2"/>
      </rPr>
      <t xml:space="preserve"> 120</t>
    </r>
    <r>
      <rPr>
        <sz val="11"/>
        <rFont val="Carlito"/>
      </rPr>
      <t>）；到期自动关闭会话</t>
    </r>
  </si>
  <si>
    <r>
      <rPr>
        <sz val="11"/>
        <rFont val="Carlito"/>
      </rPr>
      <t>变长</t>
    </r>
  </si>
  <si>
    <r>
      <rPr>
        <sz val="9"/>
        <rFont val="Carlito"/>
      </rPr>
      <t>变长：</t>
    </r>
    <r>
      <rPr>
        <sz val="9"/>
        <rFont val="Carlito"/>
        <family val="2"/>
      </rPr>
      <t>Command(1)+OperationID(4)+Status(1)+SSID(1+N1)+Passphrase(1+N2)+Gateway(4)+Port(2)+Path(1+N3)+Token(1+N4)+TTL(2)</t>
    </r>
  </si>
  <si>
    <r>
      <t>§5.15  EventLogBatch</t>
    </r>
    <r>
      <rPr>
        <b/>
        <sz val="11"/>
        <rFont val="Carlito"/>
      </rPr>
      <t>（</t>
    </r>
    <r>
      <rPr>
        <b/>
        <sz val="11"/>
        <rFont val="Carlito"/>
        <family val="2"/>
      </rPr>
      <t>0x21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</si>
  <si>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）｜传输：简单包｜用途：批量回传事件日志（响应</t>
    </r>
    <r>
      <rPr>
        <sz val="9"/>
        <rFont val="Carlito"/>
        <family val="2"/>
      </rPr>
      <t xml:space="preserve"> 0x20</t>
    </r>
    <r>
      <rPr>
        <sz val="9"/>
        <rFont val="Carlito"/>
      </rPr>
      <t>）｜记录格式见「子结构与记录」页；整批必须恰好解析出</t>
    </r>
    <r>
      <rPr>
        <sz val="9"/>
        <rFont val="Carlito"/>
        <family val="2"/>
      </rPr>
      <t xml:space="preserve"> Count </t>
    </r>
    <r>
      <rPr>
        <sz val="9"/>
        <rFont val="Carlito"/>
      </rPr>
      <t>条；明文（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</si>
  <si>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本批次记录条数</t>
    </r>
  </si>
  <si>
    <r>
      <rPr>
        <sz val="11"/>
        <rFont val="Carlito"/>
      </rPr>
      <t>见子结构页</t>
    </r>
  </si>
  <si>
    <r>
      <t xml:space="preserve">eventType(1B) + eventPayload(NB) </t>
    </r>
    <r>
      <rPr>
        <sz val="11"/>
        <rFont val="Carlito"/>
      </rPr>
      <t>顺序拼接</t>
    </r>
  </si>
  <si>
    <r>
      <rPr>
        <sz val="9"/>
        <rFont val="Carlito"/>
      </rPr>
      <t>可变：</t>
    </r>
    <r>
      <rPr>
        <sz val="9"/>
        <rFont val="Carlito"/>
        <family val="2"/>
      </rPr>
      <t xml:space="preserve">Count(1) + Σ(1 + </t>
    </r>
    <r>
      <rPr>
        <sz val="9"/>
        <rFont val="Carlito"/>
      </rPr>
      <t>各记录</t>
    </r>
    <r>
      <rPr>
        <sz val="9"/>
        <rFont val="Carlito"/>
        <family val="2"/>
      </rPr>
      <t xml:space="preserve"> payload)</t>
    </r>
  </si>
  <si>
    <r>
      <t>§5.19  AvatarControlResult</t>
    </r>
    <r>
      <rPr>
        <b/>
        <sz val="11"/>
        <rFont val="Carlito"/>
      </rPr>
      <t>（</t>
    </r>
    <r>
      <rPr>
        <b/>
        <sz val="11"/>
        <rFont val="Carlito"/>
        <family val="2"/>
      </rPr>
      <t>0x22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</si>
  <si>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）｜传输：简单包｜用途：头像事务实时结果（固定</t>
    </r>
    <r>
      <rPr>
        <sz val="9"/>
        <rFont val="Carlito"/>
        <family val="2"/>
      </rPr>
      <t xml:space="preserve"> 31B</t>
    </r>
    <r>
      <rPr>
        <sz val="9"/>
        <rFont val="Carlito"/>
      </rPr>
      <t>）｜只走当前</t>
    </r>
    <r>
      <rPr>
        <sz val="9"/>
        <rFont val="Carlito"/>
        <family val="2"/>
      </rPr>
      <t xml:space="preserve"> Notify</t>
    </r>
    <r>
      <rPr>
        <sz val="9"/>
        <rFont val="Carlito"/>
      </rPr>
      <t>，不写入</t>
    </r>
    <r>
      <rPr>
        <sz val="9"/>
        <rFont val="Carlito"/>
        <family val="2"/>
      </rPr>
      <t xml:space="preserve"> EventLogBatch</t>
    </r>
    <r>
      <rPr>
        <sz val="9"/>
        <rFont val="Carlito"/>
      </rPr>
      <t>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</si>
  <si>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t xml:space="preserve">staged </t>
    </r>
    <r>
      <rPr>
        <sz val="11"/>
        <rFont val="Carlito"/>
      </rPr>
      <t>取自</t>
    </r>
    <r>
      <rPr>
        <sz val="11"/>
        <rFont val="Carlito"/>
        <family val="2"/>
      </rPr>
      <t xml:space="preserve"> 0x15</t>
    </r>
    <r>
      <rPr>
        <sz val="11"/>
        <rFont val="Carlito"/>
      </rPr>
      <t>；命令结果原样回显该命令</t>
    </r>
    <r>
      <rPr>
        <sz val="11"/>
        <rFont val="Carlito"/>
        <family val="2"/>
      </rPr>
      <t xml:space="preserve"> OperationID</t>
    </r>
  </si>
  <si>
    <r>
      <t>0x01=staged</t>
    </r>
    <r>
      <rPr>
        <sz val="11"/>
        <rFont val="Carlito"/>
      </rPr>
      <t>，</t>
    </r>
    <r>
      <rPr>
        <sz val="11"/>
        <rFont val="Carlito"/>
        <family val="2"/>
      </rPr>
      <t>0x02=committed</t>
    </r>
    <r>
      <rPr>
        <sz val="11"/>
        <rFont val="Carlito"/>
      </rPr>
      <t>，</t>
    </r>
    <r>
      <rPr>
        <sz val="11"/>
        <rFont val="Carlito"/>
        <family val="2"/>
      </rPr>
      <t>0x03=erased</t>
    </r>
    <r>
      <rPr>
        <sz val="11"/>
        <rFont val="Carlito"/>
      </rPr>
      <t>，</t>
    </r>
    <r>
      <rPr>
        <sz val="11"/>
        <rFont val="Carlito"/>
        <family val="2"/>
      </rPr>
      <t>0x04=state</t>
    </r>
    <r>
      <rPr>
        <sz val="11"/>
        <rFont val="Carlito"/>
      </rPr>
      <t>，</t>
    </r>
    <r>
      <rPr>
        <sz val="11"/>
        <rFont val="Carlito"/>
        <family val="2"/>
      </rPr>
      <t>0x05=aborted</t>
    </r>
  </si>
  <si>
    <r>
      <t>0x00=empty</t>
    </r>
    <r>
      <rPr>
        <sz val="11"/>
        <rFont val="Carlito"/>
      </rPr>
      <t>，</t>
    </r>
    <r>
      <rPr>
        <sz val="11"/>
        <rFont val="Carlito"/>
        <family val="2"/>
      </rPr>
      <t>0x01=staged</t>
    </r>
    <r>
      <rPr>
        <sz val="11"/>
        <rFont val="Carlito"/>
      </rPr>
      <t>，</t>
    </r>
    <r>
      <rPr>
        <sz val="11"/>
        <rFont val="Carlito"/>
        <family val="2"/>
      </rPr>
      <t>0x02=committed</t>
    </r>
  </si>
  <si>
    <r>
      <rPr>
        <sz val="11"/>
        <rFont val="Carlito"/>
      </rPr>
      <t>固件当前真实激活状态</t>
    </r>
  </si>
  <si>
    <r>
      <t xml:space="preserve">16 </t>
    </r>
    <r>
      <rPr>
        <sz val="11"/>
        <rFont val="Carlito"/>
      </rPr>
      <t>原始字节</t>
    </r>
  </si>
  <si>
    <r>
      <t xml:space="preserve">empty </t>
    </r>
    <r>
      <rPr>
        <sz val="11"/>
        <rFont val="Carlito"/>
      </rPr>
      <t>时全</t>
    </r>
    <r>
      <rPr>
        <sz val="11"/>
        <rFont val="Carlito"/>
        <family val="2"/>
      </rPr>
      <t xml:space="preserve"> 16B </t>
    </r>
    <r>
      <rPr>
        <sz val="11"/>
        <rFont val="Carlito"/>
      </rPr>
      <t>为</t>
    </r>
    <r>
      <rPr>
        <sz val="11"/>
        <rFont val="Carlito"/>
        <family val="2"/>
      </rPr>
      <t xml:space="preserve"> 0</t>
    </r>
    <r>
      <rPr>
        <sz val="11"/>
        <rFont val="Carlito"/>
      </rPr>
      <t>；否则为当前</t>
    </r>
    <r>
      <rPr>
        <sz val="11"/>
        <rFont val="Carlito"/>
        <family val="2"/>
      </rPr>
      <t xml:space="preserve"> AvatarState </t>
    </r>
    <r>
      <rPr>
        <sz val="11"/>
        <rFont val="Carlito"/>
      </rPr>
      <t>所指文件的</t>
    </r>
    <r>
      <rPr>
        <sz val="11"/>
        <rFont val="Carlito"/>
        <family val="2"/>
      </rPr>
      <t xml:space="preserve"> UUID</t>
    </r>
  </si>
  <si>
    <r>
      <rPr>
        <sz val="11"/>
        <rFont val="Carlito"/>
      </rPr>
      <t>对应</t>
    </r>
    <r>
      <rPr>
        <sz val="11"/>
        <rFont val="Carlito"/>
        <family val="2"/>
      </rPr>
      <t xml:space="preserve"> staged </t>
    </r>
    <r>
      <rPr>
        <sz val="11"/>
        <rFont val="Carlito"/>
      </rPr>
      <t>或</t>
    </r>
    <r>
      <rPr>
        <sz val="11"/>
        <rFont val="Carlito"/>
        <family val="2"/>
      </rPr>
      <t xml:space="preserve"> committed KRI </t>
    </r>
    <r>
      <rPr>
        <sz val="11"/>
        <rFont val="Carlito"/>
      </rPr>
      <t>文件长度；</t>
    </r>
    <r>
      <rPr>
        <sz val="11"/>
        <rFont val="Carlito"/>
        <family val="2"/>
      </rPr>
      <t xml:space="preserve">empty </t>
    </r>
    <r>
      <rPr>
        <sz val="11"/>
        <rFont val="Carlito"/>
      </rPr>
      <t>时为</t>
    </r>
    <r>
      <rPr>
        <sz val="11"/>
        <rFont val="Carlito"/>
        <family val="2"/>
      </rPr>
      <t xml:space="preserve"> 0</t>
    </r>
  </si>
  <si>
    <r>
      <rPr>
        <sz val="11"/>
        <rFont val="Carlito"/>
      </rPr>
      <t>对应文件校验值；</t>
    </r>
    <r>
      <rPr>
        <sz val="11"/>
        <rFont val="Carlito"/>
        <family val="2"/>
      </rPr>
      <t xml:space="preserve">empty </t>
    </r>
    <r>
      <rPr>
        <sz val="11"/>
        <rFont val="Carlito"/>
      </rPr>
      <t>时为</t>
    </r>
    <r>
      <rPr>
        <sz val="11"/>
        <rFont val="Carlito"/>
        <family val="2"/>
      </rPr>
      <t xml:space="preserve"> 0</t>
    </r>
  </si>
  <si>
    <r>
      <rPr>
        <i/>
        <sz val="9"/>
        <rFont val="Carlito"/>
      </rPr>
      <t>约定：大小以字节（</t>
    </r>
    <r>
      <rPr>
        <i/>
        <sz val="9"/>
        <rFont val="Carlito"/>
        <family val="2"/>
      </rPr>
      <t>Byte</t>
    </r>
    <r>
      <rPr>
        <i/>
        <sz val="9"/>
        <rFont val="Carlito"/>
      </rPr>
      <t>）为单位；「</t>
    </r>
    <r>
      <rPr>
        <i/>
        <sz val="9"/>
        <rFont val="Carlito"/>
        <family val="2"/>
      </rPr>
      <t>1+N</t>
    </r>
    <r>
      <rPr>
        <i/>
        <sz val="9"/>
        <rFont val="Carlito"/>
      </rPr>
      <t>」</t>
    </r>
    <r>
      <rPr>
        <i/>
        <sz val="9"/>
        <rFont val="Carlito"/>
        <family val="2"/>
      </rPr>
      <t xml:space="preserve">= 1 </t>
    </r>
    <r>
      <rPr>
        <i/>
        <sz val="9"/>
        <rFont val="Carlito"/>
      </rPr>
      <t>字节长度前缀</t>
    </r>
    <r>
      <rPr>
        <i/>
        <sz val="9"/>
        <rFont val="Carlito"/>
        <family val="2"/>
      </rPr>
      <t xml:space="preserve"> + N </t>
    </r>
    <r>
      <rPr>
        <i/>
        <sz val="9"/>
        <rFont val="Carlito"/>
      </rPr>
      <t>字节内容；「</t>
    </r>
    <r>
      <rPr>
        <i/>
        <sz val="9"/>
        <rFont val="Carlito"/>
        <family val="2"/>
      </rPr>
      <t>…</t>
    </r>
    <r>
      <rPr>
        <i/>
        <sz val="9"/>
        <rFont val="Carlito"/>
      </rPr>
      <t>」表示偏移随前面的变长字段累积；多字节整数一律</t>
    </r>
    <r>
      <rPr>
        <i/>
        <sz val="9"/>
        <rFont val="Carlito"/>
        <family val="2"/>
      </rPr>
      <t xml:space="preserve"> Big Endian</t>
    </r>
    <r>
      <rPr>
        <i/>
        <sz val="9"/>
        <rFont val="Carlito"/>
      </rPr>
      <t>。来源：</t>
    </r>
    <r>
      <rPr>
        <i/>
        <sz val="9"/>
        <rFont val="Carlito"/>
        <family val="2"/>
      </rPr>
      <t xml:space="preserve">Kirole BLE </t>
    </r>
    <r>
      <rPr>
        <i/>
        <sz val="9"/>
        <rFont val="Carlito"/>
      </rPr>
      <t>通信协议规格文档</t>
    </r>
    <r>
      <rPr>
        <i/>
        <sz val="9"/>
        <rFont val="Carlito"/>
        <family val="2"/>
      </rPr>
      <t xml:space="preserve"> 2.10.1</t>
    </r>
    <r>
      <rPr>
        <i/>
        <sz val="9"/>
        <rFont val="Carlito"/>
      </rPr>
      <t>。</t>
    </r>
  </si>
  <si>
    <r>
      <t>Device →</t>
    </r>
    <r>
      <rPr>
        <b/>
        <sz val="15"/>
        <rFont val="Carlito"/>
        <family val="2"/>
      </rPr>
      <t xml:space="preserve"> App </t>
    </r>
    <r>
      <rPr>
        <b/>
        <sz val="15"/>
        <rFont val="Carlito"/>
      </rPr>
      <t>事件详解（一）：输入与通知</t>
    </r>
  </si>
  <si>
    <r>
      <t xml:space="preserve">§5.2  </t>
    </r>
    <r>
      <rPr>
        <b/>
        <sz val="11"/>
        <rFont val="Carlito"/>
      </rPr>
      <t>基础输入事件（</t>
    </r>
    <r>
      <rPr>
        <b/>
        <sz val="11"/>
        <rFont val="Carlito"/>
        <family val="2"/>
      </rPr>
      <t>0x01–0x06</t>
    </r>
    <r>
      <rPr>
        <b/>
        <sz val="11"/>
        <rFont val="Carlito"/>
      </rPr>
      <t>）（无</t>
    </r>
    <r>
      <rPr>
        <b/>
        <sz val="11"/>
        <rFont val="Carlito"/>
        <family val="2"/>
      </rPr>
      <t xml:space="preserve"> Payload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</si>
  <si>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）｜传输：简单包｜用途：旋钮与电源输入｜无</t>
    </r>
    <r>
      <rPr>
        <sz val="9"/>
        <rFont val="Carlito"/>
        <family val="2"/>
      </rPr>
      <t xml:space="preserve"> payload</t>
    </r>
    <r>
      <rPr>
        <sz val="9"/>
        <rFont val="Carlito"/>
      </rPr>
      <t>：完整事件帧</t>
    </r>
    <r>
      <rPr>
        <sz val="9"/>
        <rFont val="Carlito"/>
        <family val="2"/>
      </rPr>
      <t xml:space="preserve"> = Type(1B) + Length(1B,=0) = 2 </t>
    </r>
    <r>
      <rPr>
        <sz val="9"/>
        <rFont val="Carlito"/>
      </rPr>
      <t>字节；明文（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</si>
  <si>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无</t>
    </r>
  </si>
  <si>
    <r>
      <t xml:space="preserve">Encoder </t>
    </r>
    <r>
      <rPr>
        <sz val="11"/>
        <rFont val="Carlito"/>
      </rPr>
      <t>旋钮向上旋转（顺时针）</t>
    </r>
  </si>
  <si>
    <r>
      <t xml:space="preserve">Encoder </t>
    </r>
    <r>
      <rPr>
        <sz val="11"/>
        <rFont val="Carlito"/>
      </rPr>
      <t>旋钮向下旋转（逆时针）</t>
    </r>
  </si>
  <si>
    <r>
      <t xml:space="preserve">Encoder </t>
    </r>
    <r>
      <rPr>
        <sz val="11"/>
        <rFont val="Carlito"/>
      </rPr>
      <t>旋钮短按（确认）</t>
    </r>
  </si>
  <si>
    <r>
      <t xml:space="preserve">Encoder </t>
    </r>
    <r>
      <rPr>
        <sz val="11"/>
        <rFont val="Carlito"/>
      </rPr>
      <t>旋钮长按</t>
    </r>
  </si>
  <si>
    <r>
      <rPr>
        <sz val="11"/>
        <rFont val="Carlito"/>
      </rPr>
      <t>电源按钮短按</t>
    </r>
  </si>
  <si>
    <r>
      <rPr>
        <sz val="11"/>
        <rFont val="Carlito"/>
      </rPr>
      <t>电源按钮长按</t>
    </r>
  </si>
  <si>
    <r>
      <t>§5.3  EnterTaskIn</t>
    </r>
    <r>
      <rPr>
        <b/>
        <sz val="11"/>
        <rFont val="Carlito"/>
      </rPr>
      <t>（</t>
    </r>
    <r>
      <rPr>
        <b/>
        <sz val="11"/>
        <rFont val="Carlito"/>
        <family val="2"/>
      </rPr>
      <t>0x10</t>
    </r>
    <r>
      <rPr>
        <b/>
        <sz val="11"/>
        <rFont val="Carlito"/>
      </rPr>
      <t>，</t>
    </r>
    <r>
      <rPr>
        <b/>
        <sz val="11"/>
        <rFont val="Carlito"/>
        <family val="2"/>
      </rPr>
      <t>SubVersion 0x02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</si>
  <si>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）｜用途：专注开始；断连时立即本地生效并进入</t>
    </r>
    <r>
      <rPr>
        <sz val="9"/>
        <rFont val="Carlito"/>
        <family val="2"/>
      </rPr>
      <t xml:space="preserve"> OP_BATCH </t>
    </r>
    <r>
      <rPr>
        <sz val="9"/>
        <rFont val="Carlito"/>
      </rPr>
      <t>等待队列，不等待</t>
    </r>
    <r>
      <rPr>
        <sz val="9"/>
        <rFont val="Carlito"/>
        <family val="2"/>
      </rPr>
      <t xml:space="preserve"> App </t>
    </r>
    <r>
      <rPr>
        <sz val="9"/>
        <rFont val="Carlito"/>
      </rPr>
      <t>确认；详见「专注重连</t>
    </r>
    <r>
      <rPr>
        <sz val="9"/>
        <rFont val="Carlito"/>
        <family val="2"/>
      </rPr>
      <t>-1.2</t>
    </r>
    <r>
      <rPr>
        <sz val="9"/>
        <rFont val="Carlito"/>
      </rPr>
      <t>」页</t>
    </r>
  </si>
  <si>
    <r>
      <t xml:space="preserve">OperationID </t>
    </r>
    <r>
      <rPr>
        <sz val="11"/>
        <rFont val="Carlito"/>
      </rPr>
      <t>非零；</t>
    </r>
    <r>
      <rPr>
        <sz val="11"/>
        <rFont val="Carlito"/>
        <family val="2"/>
      </rPr>
      <t xml:space="preserve">FocusSessionId </t>
    </r>
    <r>
      <rPr>
        <sz val="11"/>
        <rFont val="Carlito"/>
      </rPr>
      <t>唯一</t>
    </r>
  </si>
  <si>
    <r>
      <rPr>
        <sz val="11"/>
        <rFont val="Carlito"/>
      </rPr>
      <t>当前</t>
    </r>
    <r>
      <rPr>
        <sz val="11"/>
        <rFont val="Carlito"/>
        <family val="2"/>
      </rPr>
      <t xml:space="preserve"> Overview </t>
    </r>
    <r>
      <rPr>
        <sz val="11"/>
        <rFont val="Carlito"/>
      </rPr>
      <t>条目的硬件任务</t>
    </r>
    <r>
      <rPr>
        <sz val="11"/>
        <rFont val="Carlito"/>
        <family val="2"/>
      </rPr>
      <t xml:space="preserve"> ID</t>
    </r>
  </si>
  <si>
    <r>
      <t xml:space="preserve">RTC </t>
    </r>
    <r>
      <rPr>
        <sz val="11"/>
        <rFont val="Carlito"/>
      </rPr>
      <t>无效时置</t>
    </r>
    <r>
      <rPr>
        <sz val="11"/>
        <rFont val="Carlito"/>
        <family val="2"/>
      </rPr>
      <t xml:space="preserve"> 0</t>
    </r>
    <r>
      <rPr>
        <sz val="11"/>
        <rFont val="Carlito"/>
      </rPr>
      <t>，由</t>
    </r>
    <r>
      <rPr>
        <sz val="11"/>
        <rFont val="Carlito"/>
        <family val="2"/>
      </rPr>
      <t xml:space="preserve"> App </t>
    </r>
    <r>
      <rPr>
        <sz val="11"/>
        <rFont val="Carlito"/>
      </rPr>
      <t>按</t>
    </r>
    <r>
      <rPr>
        <sz val="11"/>
        <rFont val="Carlito"/>
        <family val="2"/>
      </rPr>
      <t xml:space="preserve"> elapsed </t>
    </r>
    <r>
      <rPr>
        <sz val="11"/>
        <rFont val="Carlito"/>
      </rPr>
      <t>回推</t>
    </r>
  </si>
  <si>
    <r>
      <t>§5.6  SelectedTaskChanged</t>
    </r>
    <r>
      <rPr>
        <b/>
        <sz val="11"/>
        <rFont val="Carlito"/>
      </rPr>
      <t>（</t>
    </r>
    <r>
      <rPr>
        <b/>
        <sz val="11"/>
        <rFont val="Carlito"/>
        <family val="2"/>
      </rPr>
      <t>0x13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</si>
  <si>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）｜传输：简单包｜用途：用户在概览页切换选中的任务；明文（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</si>
  <si>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t xml:space="preserve">TaskId </t>
    </r>
    <r>
      <rPr>
        <sz val="11"/>
        <rFont val="Carlito"/>
      </rPr>
      <t>长度</t>
    </r>
  </si>
  <si>
    <r>
      <rPr>
        <sz val="9"/>
        <rFont val="Carlito"/>
      </rPr>
      <t>可变：</t>
    </r>
    <r>
      <rPr>
        <sz val="9"/>
        <rFont val="Carlito"/>
        <family val="2"/>
      </rPr>
      <t>Length(1) + TaskId(N) = 1+N</t>
    </r>
  </si>
  <si>
    <r>
      <t>§5.10  WheelSelect</t>
    </r>
    <r>
      <rPr>
        <b/>
        <sz val="11"/>
        <rFont val="Carlito"/>
      </rPr>
      <t>（</t>
    </r>
    <r>
      <rPr>
        <b/>
        <sz val="11"/>
        <rFont val="Carlito"/>
        <family val="2"/>
      </rPr>
      <t>0x14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</si>
  <si>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</t>
    </r>
    <r>
      <rPr>
        <sz val="9"/>
        <rFont val="Carlito"/>
        <family val="2"/>
      </rPr>
      <t xml:space="preserve">Encoder </t>
    </r>
    <r>
      <rPr>
        <sz val="9"/>
        <rFont val="Carlito"/>
      </rPr>
      <t>旋钮按下（旋钮选择确认）｜</t>
    </r>
    <r>
      <rPr>
        <sz val="9"/>
        <rFont val="Carlito"/>
        <family val="2"/>
      </rPr>
      <t xml:space="preserve">App </t>
    </r>
    <r>
      <rPr>
        <sz val="9"/>
        <rFont val="Carlito"/>
      </rPr>
      <t>当前仅记录</t>
    </r>
    <r>
      <rPr>
        <sz val="9"/>
        <rFont val="Carlito"/>
        <family val="2"/>
      </rPr>
      <t>/</t>
    </r>
    <r>
      <rPr>
        <sz val="9"/>
        <rFont val="Carlito"/>
      </rPr>
      <t>调试，不回发页面数据；明文（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</si>
  <si>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选中项</t>
    </r>
    <r>
      <rPr>
        <sz val="11"/>
        <rFont val="Carlito"/>
        <family val="2"/>
      </rPr>
      <t xml:space="preserve"> ID </t>
    </r>
    <r>
      <rPr>
        <sz val="11"/>
        <rFont val="Carlito"/>
      </rPr>
      <t>长度</t>
    </r>
  </si>
  <si>
    <r>
      <rPr>
        <sz val="11"/>
        <rFont val="Carlito"/>
      </rPr>
      <t>选中项</t>
    </r>
    <r>
      <rPr>
        <sz val="11"/>
        <rFont val="Carlito"/>
        <family val="2"/>
      </rPr>
      <t xml:space="preserve"> ID</t>
    </r>
  </si>
  <si>
    <r>
      <rPr>
        <sz val="9"/>
        <rFont val="Carlito"/>
      </rPr>
      <t>可变：</t>
    </r>
    <r>
      <rPr>
        <sz val="9"/>
        <rFont val="Carlito"/>
        <family val="2"/>
      </rPr>
      <t>Length(1) + ItemId(N) = 1+N</t>
    </r>
  </si>
  <si>
    <r>
      <t>§5.11  ViewEventDetail</t>
    </r>
    <r>
      <rPr>
        <b/>
        <sz val="11"/>
        <rFont val="Carlito"/>
      </rPr>
      <t>（</t>
    </r>
    <r>
      <rPr>
        <b/>
        <sz val="11"/>
        <rFont val="Carlito"/>
        <family val="2"/>
      </rPr>
      <t>0x15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</si>
  <si>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）｜传输：简单包｜用途：用户查看日历事件详情｜</t>
    </r>
    <r>
      <rPr>
        <sz val="9"/>
        <rFont val="Carlito"/>
        <family val="2"/>
      </rPr>
      <t xml:space="preserve">App </t>
    </r>
    <r>
      <rPr>
        <sz val="9"/>
        <rFont val="Carlito"/>
      </rPr>
      <t>无需响应（自动超时返回概览页）；明文（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</si>
  <si>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t xml:space="preserve">EventId </t>
    </r>
    <r>
      <rPr>
        <sz val="11"/>
        <rFont val="Carlito"/>
      </rPr>
      <t>长度</t>
    </r>
  </si>
  <si>
    <r>
      <rPr>
        <sz val="9"/>
        <rFont val="Carlito"/>
      </rPr>
      <t>可变：</t>
    </r>
    <r>
      <rPr>
        <sz val="9"/>
        <rFont val="Carlito"/>
        <family val="2"/>
      </rPr>
      <t>Length(1) + EventId(N) = 1+N</t>
    </r>
  </si>
  <si>
    <r>
      <t>§5.12  ReminderAcknowledged</t>
    </r>
    <r>
      <rPr>
        <b/>
        <sz val="11"/>
        <rFont val="Carlito"/>
      </rPr>
      <t>（</t>
    </r>
    <r>
      <rPr>
        <b/>
        <sz val="11"/>
        <rFont val="Carlito"/>
        <family val="2"/>
      </rPr>
      <t>0x16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</si>
  <si>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）｜传输：简单包｜用途：用户确认智能提醒；明文（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</si>
  <si>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t>§5.13  ReminderDismissed</t>
    </r>
    <r>
      <rPr>
        <b/>
        <sz val="11"/>
        <rFont val="Carlito"/>
      </rPr>
      <t>（</t>
    </r>
    <r>
      <rPr>
        <b/>
        <sz val="11"/>
        <rFont val="Carlito"/>
        <family val="2"/>
      </rPr>
      <t>0x17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</si>
  <si>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）｜传输：简单包｜用途：智能提醒超时自动消失；明文（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</si>
  <si>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t>§5.7  RequestRefresh</t>
    </r>
    <r>
      <rPr>
        <b/>
        <sz val="11"/>
        <rFont val="Carlito"/>
      </rPr>
      <t>（</t>
    </r>
    <r>
      <rPr>
        <b/>
        <sz val="11"/>
        <rFont val="Carlito"/>
        <family val="2"/>
      </rPr>
      <t>0x20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</si>
  <si>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）｜传输：简单包｜用途：设备请求数据刷新（</t>
    </r>
    <r>
      <rPr>
        <sz val="9"/>
        <rFont val="Carlito"/>
        <family val="2"/>
      </rPr>
      <t xml:space="preserve">v2.9 </t>
    </r>
    <r>
      <rPr>
        <sz val="9"/>
        <rFont val="Carlito"/>
      </rPr>
      <t>严格</t>
    </r>
    <r>
      <rPr>
        <sz val="9"/>
        <rFont val="Carlito"/>
        <family val="2"/>
      </rPr>
      <t xml:space="preserve"> v1</t>
    </r>
    <r>
      <rPr>
        <sz val="9"/>
        <rFont val="Carlito"/>
      </rPr>
      <t>）｜实时控制请求，禁止写入</t>
    </r>
    <r>
      <rPr>
        <sz val="9"/>
        <rFont val="Carlito"/>
        <family val="2"/>
      </rPr>
      <t>/</t>
    </r>
    <r>
      <rPr>
        <sz val="9"/>
        <rFont val="Carlito"/>
      </rPr>
      <t>重放到</t>
    </r>
    <r>
      <rPr>
        <sz val="9"/>
        <rFont val="Carlito"/>
        <family val="2"/>
      </rPr>
      <t xml:space="preserve"> EventLogBatch</t>
    </r>
    <r>
      <rPr>
        <sz val="9"/>
        <rFont val="Carlito"/>
      </rPr>
      <t>；专注期间固件约每</t>
    </r>
    <r>
      <rPr>
        <sz val="9"/>
        <rFont val="Carlito"/>
        <family val="2"/>
      </rPr>
      <t xml:space="preserve"> 5 </t>
    </r>
    <r>
      <rPr>
        <sz val="9"/>
        <rFont val="Carlito"/>
      </rPr>
      <t>分钟周期发送；明文（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</si>
  <si>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固定</t>
    </r>
    <r>
      <rPr>
        <sz val="11"/>
        <rFont val="Carlito"/>
        <family val="2"/>
      </rPr>
      <t xml:space="preserve"> 0x01</t>
    </r>
  </si>
  <si>
    <r>
      <rPr>
        <sz val="11"/>
        <rFont val="Carlito"/>
      </rPr>
      <t>其他版本或空</t>
    </r>
    <r>
      <rPr>
        <sz val="11"/>
        <rFont val="Carlito"/>
        <family val="2"/>
      </rPr>
      <t xml:space="preserve"> payload </t>
    </r>
    <r>
      <rPr>
        <sz val="11"/>
        <rFont val="Carlito"/>
      </rPr>
      <t>旧格式拒绝</t>
    </r>
  </si>
  <si>
    <r>
      <rPr>
        <sz val="11"/>
        <rFont val="Carlito"/>
      </rPr>
      <t>必须非零；对应</t>
    </r>
    <r>
      <rPr>
        <sz val="11"/>
        <rFont val="Carlito"/>
        <family val="2"/>
      </rPr>
      <t xml:space="preserve"> 0x1B.OperationID</t>
    </r>
    <r>
      <rPr>
        <sz val="11"/>
        <rFont val="Carlito"/>
      </rPr>
      <t>；重试时原样复用</t>
    </r>
  </si>
  <si>
    <r>
      <t>§5.8  DeviceWake</t>
    </r>
    <r>
      <rPr>
        <b/>
        <sz val="11"/>
        <rFont val="Carlito"/>
      </rPr>
      <t>（</t>
    </r>
    <r>
      <rPr>
        <b/>
        <sz val="11"/>
        <rFont val="Carlito"/>
        <family val="2"/>
      </rPr>
      <t>0x30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</si>
  <si>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）｜传输：简单包｜用途：设备上线通知</t>
    </r>
    <r>
      <rPr>
        <sz val="9"/>
        <rFont val="Carlito"/>
        <family val="2"/>
      </rPr>
      <t xml:space="preserve"> / Wake Notify</t>
    </r>
    <r>
      <rPr>
        <sz val="9"/>
        <rFont val="Carlito"/>
      </rPr>
      <t>｜</t>
    </r>
    <r>
      <rPr>
        <sz val="9"/>
        <rFont val="Carlito"/>
        <family val="2"/>
      </rPr>
      <t xml:space="preserve">BLE Notify </t>
    </r>
    <r>
      <rPr>
        <sz val="9"/>
        <rFont val="Carlito"/>
      </rPr>
      <t>建立后固件主动上报；</t>
    </r>
    <r>
      <rPr>
        <sz val="9"/>
        <rFont val="Carlito"/>
        <family val="2"/>
      </rPr>
      <t xml:space="preserve">v2.7 </t>
    </r>
    <r>
      <rPr>
        <sz val="9"/>
        <rFont val="Carlito"/>
      </rPr>
      <t>实时帧固定</t>
    </r>
    <r>
      <rPr>
        <sz val="9"/>
        <rFont val="Carlito"/>
        <family val="2"/>
      </rPr>
      <t xml:space="preserve"> 29B</t>
    </r>
    <r>
      <rPr>
        <sz val="9"/>
        <rFont val="Carlito"/>
      </rPr>
      <t>（</t>
    </r>
    <r>
      <rPr>
        <sz val="9"/>
        <rFont val="Carlito"/>
        <family val="2"/>
      </rPr>
      <t xml:space="preserve">App </t>
    </r>
    <r>
      <rPr>
        <sz val="9"/>
        <rFont val="Carlito"/>
      </rPr>
      <t>仍可读旧</t>
    </r>
    <r>
      <rPr>
        <sz val="9"/>
        <rFont val="Carlito"/>
        <family val="2"/>
      </rPr>
      <t xml:space="preserve"> 0/1/4/9B </t>
    </r>
    <r>
      <rPr>
        <sz val="9"/>
        <rFont val="Carlito"/>
      </rPr>
      <t>包）；明文（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</si>
  <si>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当前电量百分比</t>
    </r>
  </si>
  <si>
    <r>
      <rPr>
        <sz val="11"/>
        <rFont val="Carlito"/>
      </rPr>
      <t>固件版本</t>
    </r>
    <r>
      <rPr>
        <sz val="11"/>
        <rFont val="Carlito"/>
        <family val="2"/>
      </rPr>
      <t xml:space="preserve"> Major</t>
    </r>
    <r>
      <rPr>
        <sz val="11"/>
        <rFont val="Carlito"/>
      </rPr>
      <t>（</t>
    </r>
    <r>
      <rPr>
        <sz val="11"/>
        <rFont val="Carlito"/>
        <family val="2"/>
      </rPr>
      <t xml:space="preserve">v2.5.19 </t>
    </r>
    <r>
      <rPr>
        <sz val="11"/>
        <rFont val="Carlito"/>
      </rPr>
      <t>追加）</t>
    </r>
  </si>
  <si>
    <r>
      <rPr>
        <sz val="11"/>
        <rFont val="Carlito"/>
      </rPr>
      <t>固件版本</t>
    </r>
    <r>
      <rPr>
        <sz val="11"/>
        <rFont val="Carlito"/>
        <family val="2"/>
      </rPr>
      <t xml:space="preserve"> Minor</t>
    </r>
  </si>
  <si>
    <r>
      <rPr>
        <sz val="11"/>
        <rFont val="Carlito"/>
      </rPr>
      <t>固件版本</t>
    </r>
    <r>
      <rPr>
        <sz val="11"/>
        <rFont val="Carlito"/>
        <family val="2"/>
      </rPr>
      <t xml:space="preserve"> Patch</t>
    </r>
  </si>
  <si>
    <r>
      <t>0x00=</t>
    </r>
    <r>
      <rPr>
        <sz val="11"/>
        <rFont val="Carlito"/>
      </rPr>
      <t>正式库存无头像，</t>
    </r>
    <r>
      <rPr>
        <sz val="11"/>
        <rFont val="Carlito"/>
        <family val="2"/>
      </rPr>
      <t>0x01=</t>
    </r>
    <r>
      <rPr>
        <sz val="11"/>
        <rFont val="Carlito"/>
      </rPr>
      <t>有</t>
    </r>
    <r>
      <rPr>
        <sz val="11"/>
        <rFont val="Carlito"/>
        <family val="2"/>
      </rPr>
      <t xml:space="preserve"> committed KRI</t>
    </r>
  </si>
  <si>
    <r>
      <rPr>
        <sz val="11"/>
        <rFont val="Carlito"/>
      </rPr>
      <t>正式头像</t>
    </r>
    <r>
      <rPr>
        <sz val="11"/>
        <rFont val="Carlito"/>
        <family val="2"/>
      </rPr>
      <t xml:space="preserve"> UUID</t>
    </r>
    <r>
      <rPr>
        <sz val="11"/>
        <rFont val="Carlito"/>
      </rPr>
      <t>；</t>
    </r>
    <r>
      <rPr>
        <sz val="11"/>
        <rFont val="Carlito"/>
        <family val="2"/>
      </rPr>
      <t xml:space="preserve">AvatarState=0 </t>
    </r>
    <r>
      <rPr>
        <sz val="11"/>
        <rFont val="Carlito"/>
      </rPr>
      <t>时全填</t>
    </r>
    <r>
      <rPr>
        <sz val="11"/>
        <rFont val="Carlito"/>
        <family val="2"/>
      </rPr>
      <t xml:space="preserve"> 0</t>
    </r>
  </si>
  <si>
    <r>
      <t xml:space="preserve">committed KRI </t>
    </r>
    <r>
      <rPr>
        <sz val="11"/>
        <rFont val="Carlito"/>
      </rPr>
      <t>文件长度；无图填</t>
    </r>
    <r>
      <rPr>
        <sz val="11"/>
        <rFont val="Carlito"/>
        <family val="2"/>
      </rPr>
      <t xml:space="preserve"> 0</t>
    </r>
  </si>
  <si>
    <r>
      <t xml:space="preserve">committed KRI </t>
    </r>
    <r>
      <rPr>
        <sz val="11"/>
        <rFont val="Carlito"/>
      </rPr>
      <t>文件校验值；无图填</t>
    </r>
    <r>
      <rPr>
        <sz val="11"/>
        <rFont val="Carlito"/>
        <family val="2"/>
      </rPr>
      <t xml:space="preserve"> 0</t>
    </r>
  </si>
  <si>
    <r>
      <t>§5.9  DeviceSleep</t>
    </r>
    <r>
      <rPr>
        <b/>
        <sz val="11"/>
        <rFont val="Carlito"/>
      </rPr>
      <t>（</t>
    </r>
    <r>
      <rPr>
        <b/>
        <sz val="11"/>
        <rFont val="Carlito"/>
        <family val="2"/>
      </rPr>
      <t>0x31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</si>
  <si>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）｜传输：简单包｜用途：设备进入睡眠模式｜无</t>
    </r>
    <r>
      <rPr>
        <sz val="9"/>
        <rFont val="Carlito"/>
        <family val="2"/>
      </rPr>
      <t xml:space="preserve"> payload</t>
    </r>
    <r>
      <rPr>
        <sz val="9"/>
        <rFont val="Carlito"/>
      </rPr>
      <t>；</t>
    </r>
    <r>
      <rPr>
        <sz val="9"/>
        <rFont val="Carlito"/>
        <family val="2"/>
      </rPr>
      <t xml:space="preserve">App </t>
    </r>
    <r>
      <rPr>
        <sz val="9"/>
        <rFont val="Carlito"/>
      </rPr>
      <t>收到后回发一帧</t>
    </r>
    <r>
      <rPr>
        <sz val="9"/>
        <rFont val="Carlito"/>
        <family val="2"/>
      </rPr>
      <t xml:space="preserve"> 0x16 Screensaver</t>
    </r>
    <r>
      <rPr>
        <sz val="9"/>
        <rFont val="Carlito"/>
      </rPr>
      <t>（</t>
    </r>
    <r>
      <rPr>
        <sz val="9"/>
        <rFont val="Carlito"/>
        <family val="2"/>
      </rPr>
      <t xml:space="preserve">v2.6.0 </t>
    </r>
    <r>
      <rPr>
        <sz val="9"/>
        <rFont val="Carlito"/>
      </rPr>
      <t>修正）；明文（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</si>
  <si>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（无字段）</t>
    </r>
  </si>
  <si>
    <r>
      <rPr>
        <sz val="11"/>
        <rFont val="Carlito"/>
      </rPr>
      <t>完整事件帧</t>
    </r>
    <r>
      <rPr>
        <sz val="11"/>
        <rFont val="Carlito"/>
        <family val="2"/>
      </rPr>
      <t xml:space="preserve"> = Type(1B) + Length(1B) = 2 </t>
    </r>
    <r>
      <rPr>
        <sz val="11"/>
        <rFont val="Carlito"/>
      </rPr>
      <t>字节</t>
    </r>
  </si>
  <si>
    <r>
      <t>§5.14  LowBattery</t>
    </r>
    <r>
      <rPr>
        <b/>
        <sz val="11"/>
        <rFont val="Carlito"/>
      </rPr>
      <t>（</t>
    </r>
    <r>
      <rPr>
        <b/>
        <sz val="11"/>
        <rFont val="Carlito"/>
        <family val="2"/>
      </rPr>
      <t>0x40</t>
    </r>
    <r>
      <rPr>
        <b/>
        <sz val="11"/>
        <rFont val="Carlito"/>
      </rPr>
      <t>）</t>
    </r>
  </si>
  <si>
    <r>
      <rPr>
        <sz val="9"/>
        <rFont val="Carlito"/>
      </rPr>
      <t>方向：</t>
    </r>
    <r>
      <rPr>
        <sz val="9"/>
        <rFont val="Carlito"/>
        <family val="2"/>
      </rPr>
      <t xml:space="preserve">Device </t>
    </r>
    <r>
      <rPr>
        <sz val="9"/>
        <rFont val="Carlito"/>
      </rPr>
      <t>→</t>
    </r>
    <r>
      <rPr>
        <sz val="9"/>
        <rFont val="Carlito"/>
        <family val="2"/>
      </rPr>
      <t xml:space="preserve"> App</t>
    </r>
    <r>
      <rPr>
        <sz val="9"/>
        <rFont val="Carlito"/>
      </rPr>
      <t>（</t>
    </r>
    <r>
      <rPr>
        <sz val="9"/>
        <rFont val="Carlito"/>
        <family val="2"/>
      </rPr>
      <t>FFE2 Notify</t>
    </r>
    <r>
      <rPr>
        <sz val="9"/>
        <rFont val="Carlito"/>
      </rPr>
      <t>）｜传输：简单包｜用途：设备电量低通知；明文（</t>
    </r>
    <r>
      <rPr>
        <sz val="9"/>
        <rFont val="Carlito"/>
        <family val="2"/>
      </rPr>
      <t xml:space="preserve">secure </t>
    </r>
    <r>
      <rPr>
        <sz val="9"/>
        <rFont val="Carlito"/>
      </rPr>
      <t>模式经</t>
    </r>
    <r>
      <rPr>
        <sz val="9"/>
        <rFont val="Carlito"/>
        <family val="2"/>
      </rPr>
      <t xml:space="preserve"> 0x7E </t>
    </r>
    <r>
      <rPr>
        <sz val="9"/>
        <rFont val="Carlito"/>
      </rPr>
      <t>封装）</t>
    </r>
  </si>
  <si>
    <r>
      <rPr>
        <sz val="11"/>
        <rFont val="Carlito"/>
      </rPr>
      <t>电量百分比；</t>
    </r>
    <r>
      <rPr>
        <sz val="11"/>
        <rFont val="Carlito"/>
        <family val="2"/>
      </rPr>
      <t xml:space="preserve">App </t>
    </r>
    <r>
      <rPr>
        <sz val="11"/>
        <rFont val="Carlito"/>
      </rPr>
      <t>更新显示并推送低电量本地通知</t>
    </r>
  </si>
  <si>
    <r>
      <rPr>
        <sz val="9"/>
        <rFont val="微软雅黑"/>
        <family val="2"/>
      </rPr>
      <t>每条可变：</t>
    </r>
    <r>
      <rPr>
        <sz val="9"/>
        <rFont val="Arial"/>
        <family val="2"/>
      </rPr>
      <t>1 + N1 + 1 + N2 + 2</t>
    </r>
    <r>
      <rPr>
        <sz val="9"/>
        <rFont val="微软雅黑"/>
        <family val="2"/>
      </rPr>
      <t>（</t>
    </r>
    <r>
      <rPr>
        <sz val="9"/>
        <rFont val="Arial"/>
        <family val="2"/>
      </rPr>
      <t>N1</t>
    </r>
    <r>
      <rPr>
        <sz val="9"/>
        <rFont val="Carlito"/>
        <family val="2"/>
      </rPr>
      <t>≤</t>
    </r>
    <r>
      <rPr>
        <sz val="9"/>
        <rFont val="Arial"/>
        <family val="2"/>
      </rPr>
      <t>36</t>
    </r>
    <r>
      <rPr>
        <sz val="9"/>
        <rFont val="微软雅黑"/>
        <family val="2"/>
      </rPr>
      <t>，</t>
    </r>
    <r>
      <rPr>
        <sz val="9"/>
        <rFont val="Arial"/>
        <family val="2"/>
      </rPr>
      <t>N2</t>
    </r>
    <r>
      <rPr>
        <sz val="9"/>
        <rFont val="Carlito"/>
        <family val="2"/>
      </rPr>
      <t>≤</t>
    </r>
    <r>
      <rPr>
        <sz val="9"/>
        <rFont val="Arial"/>
        <family val="2"/>
      </rPr>
      <t>30</t>
    </r>
    <r>
      <rPr>
        <sz val="9"/>
        <rFont val="微软雅黑"/>
        <family val="2"/>
      </rPr>
      <t>）</t>
    </r>
  </si>
  <si>
    <r>
      <t>§4.7  DayPack · SettlementData</t>
    </r>
    <r>
      <rPr>
        <b/>
        <sz val="11"/>
        <rFont val="微软雅黑"/>
        <family val="2"/>
      </rPr>
      <t>（定长</t>
    </r>
    <r>
      <rPr>
        <b/>
        <sz val="11"/>
        <rFont val="Arial"/>
        <family val="2"/>
      </rPr>
      <t xml:space="preserve"> 10B</t>
    </r>
    <r>
      <rPr>
        <b/>
        <sz val="11"/>
        <rFont val="微软雅黑"/>
        <family val="2"/>
      </rPr>
      <t>）</t>
    </r>
  </si>
  <si>
    <r>
      <t xml:space="preserve">§4.21  TaskListSnapshotAck · Task </t>
    </r>
    <r>
      <rPr>
        <b/>
        <sz val="11"/>
        <rFont val="微软雅黑"/>
        <family val="2"/>
      </rPr>
      <t>条目（</t>
    </r>
    <r>
      <rPr>
        <b/>
        <sz val="11"/>
        <rFont val="Arial"/>
        <family val="2"/>
      </rPr>
      <t>0x1B</t>
    </r>
    <r>
      <rPr>
        <b/>
        <sz val="11"/>
        <rFont val="微软雅黑"/>
        <family val="2"/>
      </rPr>
      <t>）（子结构）</t>
    </r>
  </si>
  <si>
    <r>
      <t>§4.7  DayPack</t>
    </r>
    <r>
      <rPr>
        <b/>
        <sz val="11"/>
        <rFont val="微软雅黑"/>
        <family val="2"/>
      </rPr>
      <t>（</t>
    </r>
    <r>
      <rPr>
        <b/>
        <sz val="11"/>
        <rFont val="Arial"/>
        <family val="2"/>
      </rPr>
      <t>0x10</t>
    </r>
    <r>
      <rPr>
        <b/>
        <sz val="11"/>
        <rFont val="微软雅黑"/>
        <family val="2"/>
      </rPr>
      <t>）</t>
    </r>
  </si>
  <si>
    <r>
      <rPr>
        <sz val="9"/>
        <rFont val="微软雅黑"/>
        <family val="2"/>
      </rPr>
      <t>可变：前</t>
    </r>
    <r>
      <rPr>
        <sz val="9"/>
        <rFont val="Arial"/>
        <family val="2"/>
      </rPr>
      <t xml:space="preserve"> 5B </t>
    </r>
    <r>
      <rPr>
        <sz val="9"/>
        <rFont val="微软雅黑"/>
        <family val="2"/>
      </rPr>
      <t>定长</t>
    </r>
    <r>
      <rPr>
        <sz val="9"/>
        <rFont val="Arial"/>
        <family val="2"/>
      </rPr>
      <t xml:space="preserve"> + PetDialogue </t>
    </r>
    <r>
      <rPr>
        <sz val="9"/>
        <rFont val="微软雅黑"/>
        <family val="2"/>
      </rPr>
      <t>起全为变长流（含</t>
    </r>
    <r>
      <rPr>
        <sz val="9"/>
        <rFont val="Arial"/>
        <family val="2"/>
      </rPr>
      <t xml:space="preserve"> Events[]/TopTasks[]</t>
    </r>
    <r>
      <rPr>
        <sz val="9"/>
        <rFont val="微软雅黑"/>
        <family val="2"/>
      </rPr>
      <t>），固件必须顺序流式解析</t>
    </r>
  </si>
  <si>
    <r>
      <rPr>
        <sz val="9"/>
        <rFont val="微软雅黑"/>
        <family val="2"/>
      </rPr>
      <t>方向：</t>
    </r>
    <r>
      <rPr>
        <sz val="9"/>
        <rFont val="Arial"/>
        <family val="2"/>
      </rPr>
      <t xml:space="preserve">App </t>
    </r>
    <r>
      <rPr>
        <sz val="9"/>
        <rFont val="Carlito"/>
        <family val="2"/>
      </rPr>
      <t>→</t>
    </r>
    <r>
      <rPr>
        <sz val="9"/>
        <rFont val="Arial"/>
        <family val="2"/>
      </rPr>
      <t xml:space="preserve"> Device</t>
    </r>
    <r>
      <rPr>
        <sz val="9"/>
        <rFont val="微软雅黑"/>
        <family val="2"/>
      </rPr>
      <t>（</t>
    </r>
    <r>
      <rPr>
        <sz val="9"/>
        <rFont val="Arial"/>
        <family val="2"/>
      </rPr>
      <t>FFE1 Write</t>
    </r>
    <r>
      <rPr>
        <sz val="9"/>
        <rFont val="微软雅黑"/>
        <family val="2"/>
      </rPr>
      <t>）｜传输：分包（</t>
    </r>
    <r>
      <rPr>
        <sz val="9"/>
        <rFont val="Arial"/>
        <family val="2"/>
      </rPr>
      <t xml:space="preserve">11B </t>
    </r>
    <r>
      <rPr>
        <sz val="9"/>
        <rFont val="微软雅黑"/>
        <family val="2"/>
      </rPr>
      <t>头）｜用途：完成</t>
    </r>
    <r>
      <rPr>
        <sz val="9"/>
        <rFont val="Arial"/>
        <family val="2"/>
      </rPr>
      <t>/</t>
    </r>
    <r>
      <rPr>
        <sz val="9"/>
        <rFont val="微软雅黑"/>
        <family val="2"/>
      </rPr>
      <t>跳过</t>
    </r>
    <r>
      <rPr>
        <sz val="9"/>
        <rFont val="Arial"/>
        <family val="2"/>
      </rPr>
      <t>/</t>
    </r>
    <r>
      <rPr>
        <sz val="9"/>
        <rFont val="微软雅黑"/>
        <family val="2"/>
      </rPr>
      <t>刷新请求的业务确认</t>
    </r>
    <r>
      <rPr>
        <sz val="9"/>
        <rFont val="Arial"/>
        <family val="2"/>
      </rPr>
      <t xml:space="preserve"> + </t>
    </r>
    <r>
      <rPr>
        <sz val="9"/>
        <rFont val="微软雅黑"/>
        <family val="2"/>
      </rPr>
      <t>完整</t>
    </r>
    <r>
      <rPr>
        <sz val="9"/>
        <rFont val="Arial"/>
        <family val="2"/>
      </rPr>
      <t xml:space="preserve"> Overview </t>
    </r>
    <r>
      <rPr>
        <sz val="9"/>
        <rFont val="微软雅黑"/>
        <family val="2"/>
      </rPr>
      <t>任务快照｜固定头</t>
    </r>
    <r>
      <rPr>
        <sz val="9"/>
        <rFont val="Arial"/>
        <family val="2"/>
      </rPr>
      <t xml:space="preserve"> 16B + Tasks[]</t>
    </r>
    <r>
      <rPr>
        <sz val="9"/>
        <rFont val="微软雅黑"/>
        <family val="2"/>
      </rPr>
      <t>；长</t>
    </r>
    <r>
      <rPr>
        <sz val="9"/>
        <rFont val="Arial"/>
        <family val="2"/>
      </rPr>
      <t xml:space="preserve"> payload </t>
    </r>
    <r>
      <rPr>
        <sz val="9"/>
        <rFont val="微软雅黑"/>
        <family val="2"/>
      </rPr>
      <t>按</t>
    </r>
    <r>
      <rPr>
        <sz val="9"/>
        <rFont val="Arial"/>
        <family val="2"/>
      </rPr>
      <t xml:space="preserve"> §3.2 </t>
    </r>
    <r>
      <rPr>
        <sz val="9"/>
        <rFont val="微软雅黑"/>
        <family val="2"/>
      </rPr>
      <t>分包，固件须完整重组后再应用；明文（</t>
    </r>
    <r>
      <rPr>
        <sz val="9"/>
        <rFont val="Arial"/>
        <family val="2"/>
      </rPr>
      <t xml:space="preserve">secure </t>
    </r>
    <r>
      <rPr>
        <sz val="9"/>
        <rFont val="微软雅黑"/>
        <family val="2"/>
      </rPr>
      <t>模式经</t>
    </r>
    <r>
      <rPr>
        <sz val="9"/>
        <rFont val="Arial"/>
        <family val="2"/>
      </rPr>
      <t xml:space="preserve"> 0x7E </t>
    </r>
    <r>
      <rPr>
        <sz val="9"/>
        <rFont val="微软雅黑"/>
        <family val="2"/>
      </rPr>
      <t>封装）</t>
    </r>
  </si>
  <si>
    <r>
      <rPr>
        <sz val="9"/>
        <rFont val="微软雅黑"/>
        <family val="2"/>
      </rPr>
      <t>固定头</t>
    </r>
    <r>
      <rPr>
        <sz val="9"/>
        <rFont val="Arial"/>
        <family val="2"/>
      </rPr>
      <t xml:space="preserve"> 16B</t>
    </r>
    <r>
      <rPr>
        <sz val="9"/>
        <rFont val="微软雅黑"/>
        <family val="2"/>
      </rPr>
      <t>（</t>
    </r>
    <r>
      <rPr>
        <sz val="9"/>
        <rFont val="Arial"/>
        <family val="2"/>
      </rPr>
      <t>SubVersion..TaskCount</t>
    </r>
    <r>
      <rPr>
        <sz val="9"/>
        <rFont val="微软雅黑"/>
        <family val="2"/>
      </rPr>
      <t>）</t>
    </r>
    <r>
      <rPr>
        <sz val="9"/>
        <rFont val="Arial"/>
        <family val="2"/>
      </rPr>
      <t xml:space="preserve">+ Tasks[] </t>
    </r>
    <r>
      <rPr>
        <sz val="9"/>
        <rFont val="微软雅黑"/>
        <family val="2"/>
      </rPr>
      <t>变长</t>
    </r>
  </si>
  <si>
    <r>
      <rPr>
        <sz val="9"/>
        <rFont val="微软雅黑"/>
        <family val="2"/>
      </rPr>
      <t>方向：</t>
    </r>
    <r>
      <rPr>
        <sz val="9"/>
        <rFont val="Arial"/>
        <family val="2"/>
      </rPr>
      <t xml:space="preserve">App </t>
    </r>
    <r>
      <rPr>
        <sz val="9"/>
        <rFont val="Carlito"/>
        <family val="2"/>
      </rPr>
      <t>→</t>
    </r>
    <r>
      <rPr>
        <sz val="9"/>
        <rFont val="Arial"/>
        <family val="2"/>
      </rPr>
      <t xml:space="preserve"> Device</t>
    </r>
    <r>
      <rPr>
        <sz val="9"/>
        <rFont val="微软雅黑"/>
        <family val="2"/>
      </rPr>
      <t>（</t>
    </r>
    <r>
      <rPr>
        <sz val="9"/>
        <rFont val="Arial"/>
        <family val="2"/>
      </rPr>
      <t>FFE1 Write</t>
    </r>
    <r>
      <rPr>
        <sz val="9"/>
        <rFont val="微软雅黑"/>
        <family val="2"/>
      </rPr>
      <t>）｜传输：简单包｜用途：今日任务列表（最多</t>
    </r>
    <r>
      <rPr>
        <sz val="9"/>
        <rFont val="Arial"/>
        <family val="2"/>
      </rPr>
      <t xml:space="preserve"> 10 </t>
    </r>
    <r>
      <rPr>
        <sz val="9"/>
        <rFont val="微软雅黑"/>
        <family val="2"/>
      </rPr>
      <t>个任务）｜</t>
    </r>
    <r>
      <rPr>
        <sz val="9"/>
        <rFont val="Arial"/>
        <family val="2"/>
      </rPr>
      <t>Legacy</t>
    </r>
    <r>
      <rPr>
        <sz val="9"/>
        <rFont val="微软雅黑"/>
        <family val="2"/>
      </rPr>
      <t>：不含</t>
    </r>
    <r>
      <rPr>
        <sz val="9"/>
        <rFont val="Arial"/>
        <family val="2"/>
      </rPr>
      <t xml:space="preserve"> TaskId / OperationID</t>
    </r>
    <r>
      <rPr>
        <sz val="9"/>
        <rFont val="微软雅黑"/>
        <family val="2"/>
      </rPr>
      <t>，不能作为</t>
    </r>
    <r>
      <rPr>
        <sz val="9"/>
        <rFont val="Arial"/>
        <family val="2"/>
      </rPr>
      <t xml:space="preserve"> v2.9 Overview </t>
    </r>
    <r>
      <rPr>
        <sz val="9"/>
        <rFont val="微软雅黑"/>
        <family val="2"/>
      </rPr>
      <t>的数据源；明文（</t>
    </r>
    <r>
      <rPr>
        <sz val="9"/>
        <rFont val="Arial"/>
        <family val="2"/>
      </rPr>
      <t xml:space="preserve">secure </t>
    </r>
    <r>
      <rPr>
        <sz val="9"/>
        <rFont val="微软雅黑"/>
        <family val="2"/>
      </rPr>
      <t>模式经</t>
    </r>
    <r>
      <rPr>
        <sz val="9"/>
        <rFont val="Arial"/>
        <family val="2"/>
      </rPr>
      <t xml:space="preserve"> 0x7E </t>
    </r>
    <r>
      <rPr>
        <sz val="9"/>
        <rFont val="微软雅黑"/>
        <family val="2"/>
      </rPr>
      <t>封装）</t>
    </r>
  </si>
  <si>
    <r>
      <rPr>
        <sz val="11"/>
        <rFont val="微软雅黑"/>
        <family val="2"/>
      </rPr>
      <t>任务条目数组；每条</t>
    </r>
    <r>
      <rPr>
        <sz val="11"/>
        <rFont val="Arial"/>
        <family val="2"/>
      </rPr>
      <t xml:space="preserve"> =TaskIdLength(1) + TaskId(N1, N1&lt;=36) +
TitleLength(1) + Title(N2</t>
    </r>
    <r>
      <rPr>
        <sz val="11"/>
        <rFont val="Carlito"/>
        <family val="2"/>
      </rPr>
      <t>≤</t>
    </r>
    <r>
      <rPr>
        <sz val="11"/>
        <rFont val="Arial"/>
        <family val="2"/>
      </rPr>
      <t>30) + IsCompleted(1)</t>
    </r>
  </si>
  <si>
    <r>
      <rPr>
        <sz val="9"/>
        <rFont val="微软雅黑"/>
        <family val="2"/>
      </rPr>
      <t>可变：</t>
    </r>
    <r>
      <rPr>
        <sz val="9"/>
        <rFont val="Arial"/>
        <family val="2"/>
      </rPr>
      <t>1 + Σ(1 + N1 + 1 + N2 + 1</t>
    </r>
    <r>
      <rPr>
        <sz val="9"/>
        <rFont val="微软雅黑"/>
        <family val="2"/>
      </rPr>
      <t>（N1≤36，N2≤30）</t>
    </r>
    <r>
      <rPr>
        <sz val="9"/>
        <rFont val="Arial"/>
        <family val="2"/>
      </rPr>
      <t>)</t>
    </r>
    <r>
      <rPr>
        <sz val="9"/>
        <rFont val="微软雅黑"/>
        <family val="2"/>
      </rPr>
      <t>；</t>
    </r>
    <r>
      <rPr>
        <sz val="9"/>
        <rFont val="Arial"/>
        <family val="2"/>
      </rPr>
      <t xml:space="preserve"> N1</t>
    </r>
    <r>
      <rPr>
        <sz val="9"/>
        <rFont val="微软雅黑"/>
        <family val="2"/>
      </rPr>
      <t>为TaskId，N2为Title</t>
    </r>
  </si>
  <si>
    <r>
      <t>ShippingMode</t>
    </r>
    <r>
      <rPr>
        <b/>
        <sz val="11"/>
        <rFont val="微软雅黑"/>
        <family val="2"/>
      </rPr>
      <t>（</t>
    </r>
    <r>
      <rPr>
        <b/>
        <sz val="11"/>
        <rFont val="Arial"/>
        <family val="2"/>
      </rPr>
      <t>0x1C</t>
    </r>
    <r>
      <rPr>
        <b/>
        <sz val="11"/>
        <rFont val="微软雅黑"/>
        <family val="2"/>
      </rPr>
      <t>）</t>
    </r>
  </si>
  <si>
    <r>
      <rPr>
        <sz val="9"/>
        <rFont val="微软雅黑"/>
        <family val="2"/>
      </rPr>
      <t>方向：</t>
    </r>
    <r>
      <rPr>
        <sz val="9"/>
        <rFont val="Arial"/>
        <family val="2"/>
      </rPr>
      <t xml:space="preserve">App </t>
    </r>
    <r>
      <rPr>
        <sz val="9"/>
        <rFont val="Carlito"/>
        <family val="2"/>
      </rPr>
      <t>→</t>
    </r>
    <r>
      <rPr>
        <sz val="9"/>
        <rFont val="Arial"/>
        <family val="2"/>
      </rPr>
      <t xml:space="preserve"> Device</t>
    </r>
    <r>
      <rPr>
        <sz val="9"/>
        <rFont val="微软雅黑"/>
        <family val="2"/>
      </rPr>
      <t>（</t>
    </r>
    <r>
      <rPr>
        <sz val="9"/>
        <rFont val="Arial"/>
        <family val="2"/>
      </rPr>
      <t>FFE1 Write</t>
    </r>
    <r>
      <rPr>
        <sz val="9"/>
        <rFont val="微软雅黑"/>
        <family val="2"/>
      </rPr>
      <t>）｜传输：简单包｜用途：开启</t>
    </r>
    <r>
      <rPr>
        <sz val="9"/>
        <rFont val="Arial"/>
        <family val="2"/>
      </rPr>
      <t xml:space="preserve"> </t>
    </r>
    <r>
      <rPr>
        <sz val="9"/>
        <rFont val="微软雅黑"/>
        <family val="2"/>
      </rPr>
      <t>设备运输模式｜明文帧示例：</t>
    </r>
    <r>
      <rPr>
        <sz val="9"/>
        <rFont val="Arial"/>
        <family val="2"/>
      </rPr>
      <t>1C 00 01 01</t>
    </r>
    <r>
      <rPr>
        <sz val="9"/>
        <rFont val="微软雅黑"/>
        <family val="2"/>
      </rPr>
      <t>（打开运输模式）；明文（</t>
    </r>
    <r>
      <rPr>
        <sz val="9"/>
        <rFont val="Arial"/>
        <family val="2"/>
      </rPr>
      <t xml:space="preserve">secure </t>
    </r>
    <r>
      <rPr>
        <sz val="9"/>
        <rFont val="微软雅黑"/>
        <family val="2"/>
      </rPr>
      <t>模式经</t>
    </r>
    <r>
      <rPr>
        <sz val="9"/>
        <rFont val="Arial"/>
        <family val="2"/>
      </rPr>
      <t xml:space="preserve"> 0x7E </t>
    </r>
    <r>
      <rPr>
        <sz val="9"/>
        <rFont val="微软雅黑"/>
        <family val="2"/>
      </rPr>
      <t>封装）</t>
    </r>
  </si>
  <si>
    <r>
      <t xml:space="preserve">App → Device </t>
    </r>
    <r>
      <rPr>
        <b/>
        <sz val="11"/>
        <rFont val="微软雅黑"/>
        <family val="2"/>
      </rPr>
      <t>命令（</t>
    </r>
    <r>
      <rPr>
        <b/>
        <sz val="11"/>
        <rFont val="Arial"/>
        <family val="2"/>
      </rPr>
      <t xml:space="preserve">23 </t>
    </r>
    <r>
      <rPr>
        <b/>
        <sz val="11"/>
        <rFont val="微软雅黑"/>
        <family val="2"/>
      </rPr>
      <t>个）</t>
    </r>
  </si>
  <si>
    <r>
      <rPr>
        <b/>
        <sz val="11"/>
        <rFont val="Carlito"/>
        <family val="2"/>
      </rPr>
      <t xml:space="preserve">Device </t>
    </r>
    <r>
      <rPr>
        <b/>
        <sz val="11"/>
        <rFont val="Carlito"/>
      </rPr>
      <t>→</t>
    </r>
    <r>
      <rPr>
        <b/>
        <sz val="11"/>
        <rFont val="Carlito"/>
        <family val="2"/>
      </rPr>
      <t xml:space="preserve"> App </t>
    </r>
    <r>
      <rPr>
        <b/>
        <sz val="11"/>
        <rFont val="Carlito"/>
      </rPr>
      <t>事件（</t>
    </r>
    <r>
      <rPr>
        <b/>
        <sz val="11"/>
        <rFont val="Carlito"/>
        <family val="2"/>
      </rPr>
      <t xml:space="preserve">24 </t>
    </r>
    <r>
      <rPr>
        <b/>
        <sz val="11"/>
        <rFont val="Carlito"/>
      </rPr>
      <t>个）</t>
    </r>
  </si>
  <si>
    <r>
      <rPr>
        <i/>
        <sz val="9"/>
        <rFont val="微软雅黑"/>
        <family val="2"/>
      </rPr>
      <t>说明：</t>
    </r>
    <r>
      <rPr>
        <i/>
        <sz val="9"/>
        <rFont val="Carlito"/>
        <family val="2"/>
      </rPr>
      <t xml:space="preserve">Payload </t>
    </r>
    <r>
      <rPr>
        <i/>
        <sz val="9"/>
        <rFont val="微软雅黑"/>
        <family val="2"/>
      </rPr>
      <t>长度列引用各详解页的公式；</t>
    </r>
    <r>
      <rPr>
        <i/>
        <sz val="9"/>
        <rFont val="Carlito"/>
        <family val="2"/>
      </rPr>
      <t xml:space="preserve">secure </t>
    </r>
    <r>
      <rPr>
        <i/>
        <sz val="9"/>
        <rFont val="微软雅黑"/>
        <family val="2"/>
      </rPr>
      <t>模式下业务帧封装进</t>
    </r>
    <r>
      <rPr>
        <i/>
        <sz val="9"/>
        <rFont val="Carlito"/>
        <family val="2"/>
      </rPr>
      <t xml:space="preserve"> 0x7E SecureEnvelope</t>
    </r>
    <r>
      <rPr>
        <i/>
        <sz val="9"/>
        <rFont val="微软雅黑"/>
        <family val="2"/>
      </rPr>
      <t>。</t>
    </r>
  </si>
  <si>
    <r>
      <t xml:space="preserve">Kirole BLE </t>
    </r>
    <r>
      <rPr>
        <b/>
        <sz val="15"/>
        <rFont val="微软雅黑"/>
        <family val="2"/>
      </rPr>
      <t>通信协议</t>
    </r>
    <r>
      <rPr>
        <b/>
        <sz val="15"/>
        <rFont val="Arial"/>
        <family val="2"/>
      </rPr>
      <t xml:space="preserve"> </t>
    </r>
    <r>
      <rPr>
        <b/>
        <sz val="15"/>
        <rFont val="Carlito"/>
        <family val="2"/>
      </rPr>
      <t>——</t>
    </r>
    <r>
      <rPr>
        <b/>
        <sz val="15"/>
        <rFont val="Arial"/>
        <family val="2"/>
      </rPr>
      <t xml:space="preserve"> </t>
    </r>
    <r>
      <rPr>
        <b/>
        <sz val="15"/>
        <rFont val="微软雅黑"/>
        <family val="2"/>
      </rPr>
      <t>命令字节表</t>
    </r>
  </si>
  <si>
    <r>
      <t xml:space="preserve">App </t>
    </r>
    <r>
      <rPr>
        <i/>
        <sz val="11"/>
        <color rgb="FFFF0000"/>
        <rFont val="Carlito"/>
      </rPr>
      <t>→</t>
    </r>
    <r>
      <rPr>
        <i/>
        <sz val="11"/>
        <color rgb="FFFF0000"/>
        <rFont val="Carlito"/>
        <family val="2"/>
      </rPr>
      <t xml:space="preserve"> </t>
    </r>
    <r>
      <rPr>
        <i/>
        <sz val="11"/>
        <color rgb="FFFF0000"/>
        <rFont val="Carlito"/>
      </rPr>
      <t>设备</t>
    </r>
  </si>
  <si>
    <r>
      <rPr>
        <i/>
        <sz val="11"/>
        <color rgb="FFFF0000"/>
        <rFont val="Carlito"/>
      </rPr>
      <t>确认专注操作处理完成并下发权威裁决</t>
    </r>
  </si>
  <si>
    <r>
      <rPr>
        <sz val="11"/>
        <color rgb="FFFF0000"/>
        <rFont val="Carlito"/>
      </rPr>
      <t>设备</t>
    </r>
    <r>
      <rPr>
        <sz val="11"/>
        <color rgb="FFFF0000"/>
        <rFont val="Carlito"/>
        <family val="2"/>
      </rPr>
      <t xml:space="preserve"> </t>
    </r>
    <r>
      <rPr>
        <sz val="11"/>
        <color rgb="FFFF0000"/>
        <rFont val="Carlito"/>
      </rPr>
      <t>→</t>
    </r>
    <r>
      <rPr>
        <sz val="11"/>
        <color rgb="FFFF0000"/>
        <rFont val="Carlito"/>
        <family val="2"/>
      </rPr>
      <t xml:space="preserve"> App</t>
    </r>
  </si>
  <si>
    <r>
      <rPr>
        <sz val="11"/>
        <color rgb="FFFF0000"/>
        <rFont val="Carlito"/>
      </rPr>
      <t>重连时上报当前专注快照；早于普通</t>
    </r>
    <r>
      <rPr>
        <sz val="11"/>
        <color rgb="FFFF0000"/>
        <rFont val="Carlito"/>
        <family val="2"/>
      </rPr>
      <t xml:space="preserve"> FocusStatus</t>
    </r>
  </si>
  <si>
    <t>返回同步处理结果；包含 FOCUS_RESOLVE 应答</t>
    <phoneticPr fontId="3" type="noConversion"/>
  </si>
  <si>
    <t>方向：双向｜多字节整数：Big Endian｜FOCUS_RESOLVE(0x06) 必须以 RESULT(0x81) 应答；专注裁决与数据 COMMIT 分离</t>
    <phoneticPr fontId="3" type="noConversion"/>
  </si>
  <si>
    <r>
      <t>0x25 OfflineSync 双向协议详解</t>
    </r>
    <r>
      <rPr>
        <sz val="11"/>
        <color rgb="FFFF0000"/>
        <rFont val="Carlito"/>
        <family val="2"/>
      </rPr>
      <t xml:space="preserve"> · Ver 1.3.1</t>
    </r>
    <r>
      <rPr>
        <sz val="11"/>
        <color rgb="FFFF0000"/>
        <rFont val="Carlito"/>
      </rPr>
      <t>（含专注裁决</t>
    </r>
    <r>
      <rPr>
        <sz val="11"/>
        <color rgb="FFFF0000"/>
        <rFont val="Carlito"/>
        <family val="2"/>
      </rPr>
      <t xml:space="preserve"> RESULT</t>
    </r>
    <r>
      <rPr>
        <sz val="11"/>
        <color rgb="FFFF0000"/>
        <rFont val="Carlito"/>
      </rPr>
      <t>）</t>
    </r>
    <phoneticPr fontId="3" type="noConversion"/>
  </si>
  <si>
    <r>
      <rPr>
        <sz val="11"/>
        <rFont val="Arial"/>
        <family val="2"/>
      </rPr>
      <t>bit0(0x01)</t>
    </r>
    <r>
      <rPr>
        <sz val="11"/>
        <rFont val="微软雅黑"/>
        <family val="2"/>
      </rPr>
      <t xml:space="preserve">：TaskList \ bit1(0x02)：Schedule \ bit2(0x04)：DayPack
其他位必须为 0 </t>
    </r>
    <phoneticPr fontId="3" type="noConversion"/>
  </si>
  <si>
    <t>BEGIN 对应事务 SyncId；FOCUS_RESOLVE 对应 ResolveID</t>
    <phoneticPr fontId="3" type="noConversion"/>
  </si>
  <si>
    <r>
      <t>FOCUS_RESOLVE 仅匹配</t>
    </r>
    <r>
      <rPr>
        <sz val="11"/>
        <color rgb="FFFF0000"/>
        <rFont val="Carlito"/>
        <family val="2"/>
      </rPr>
      <t xml:space="preserve"> ResolveID </t>
    </r>
    <r>
      <rPr>
        <sz val="11"/>
        <color rgb="FFFF0000"/>
        <rFont val="Carlito"/>
      </rPr>
      <t>的</t>
    </r>
    <r>
      <rPr>
        <sz val="11"/>
        <color rgb="FFFF0000"/>
        <rFont val="Carlito"/>
        <family val="2"/>
      </rPr>
      <t xml:space="preserve"> COMMITTED </t>
    </r>
    <r>
      <rPr>
        <sz val="11"/>
        <color rgb="FFFF0000"/>
        <rFont val="Carlito"/>
      </rPr>
      <t>可解锁</t>
    </r>
  </si>
  <si>
    <t>BEGIN / FOCUS_RESOLVE</t>
  </si>
  <si>
    <t>BEGIN 继续；FOCUS_RESOLVE 不解锁</t>
  </si>
  <si>
    <t>ResolveResult=rejected/internalError 时保持状态与队列</t>
  </si>
  <si>
    <t>COMMIT / FOCUS_RESOLVE</t>
  </si>
  <si>
    <t>COMMIT 完成数据事务；FOCUS_RESOLVE 解除专注锁定</t>
  </si>
  <si>
    <t>FOCUS_RESOLVE 相同请求幂等重放仍返回 COMMITTED</t>
  </si>
  <si>
    <r>
      <t>设备离线操作立即生效；</t>
    </r>
    <r>
      <rPr>
        <i/>
        <sz val="11"/>
        <color rgb="FFFF0000"/>
        <rFont val="Carlito"/>
        <family val="2"/>
      </rPr>
      <t xml:space="preserve">FOCUS_RESOLVE </t>
    </r>
    <r>
      <rPr>
        <i/>
        <sz val="11"/>
        <color rgb="FFFF0000"/>
        <rFont val="Carlito"/>
      </rPr>
      <t>必须收到匹配</t>
    </r>
    <r>
      <rPr>
        <i/>
        <sz val="11"/>
        <color rgb="FFFF0000"/>
        <rFont val="Carlito"/>
        <family val="2"/>
      </rPr>
      <t xml:space="preserve"> RESULT/COMMITTED </t>
    </r>
    <r>
      <rPr>
        <i/>
        <sz val="11"/>
        <color rgb="FFFF0000"/>
        <rFont val="Carlito"/>
      </rPr>
      <t>后才解锁；</t>
    </r>
    <r>
      <rPr>
        <i/>
        <sz val="11"/>
        <color rgb="FFFF0000"/>
        <rFont val="Carlito"/>
        <family val="2"/>
      </rPr>
      <t>DayPack/</t>
    </r>
    <r>
      <rPr>
        <i/>
        <sz val="11"/>
        <color rgb="FFFF0000"/>
        <rFont val="Carlito"/>
      </rPr>
      <t>数据</t>
    </r>
    <r>
      <rPr>
        <i/>
        <sz val="11"/>
        <color rgb="FFFF0000"/>
        <rFont val="Carlito"/>
        <family val="2"/>
      </rPr>
      <t xml:space="preserve"> COMMIT </t>
    </r>
    <r>
      <rPr>
        <i/>
        <sz val="11"/>
        <color rgb="FFFF0000"/>
        <rFont val="Carlito"/>
      </rPr>
      <t>不是重连必经步骤</t>
    </r>
  </si>
  <si>
    <r>
      <rPr>
        <i/>
        <sz val="11"/>
        <color rgb="FFFF0000"/>
        <rFont val="Carlito"/>
      </rPr>
      <t>设备离线操作立即生效；重连先回放操作、再统一裁决、最后恢复普通</t>
    </r>
    <r>
      <rPr>
        <i/>
        <sz val="11"/>
        <color rgb="FFFF0000"/>
        <rFont val="Carlito"/>
        <family val="2"/>
      </rPr>
      <t xml:space="preserve"> FocusStatus</t>
    </r>
    <r>
      <rPr>
        <i/>
        <sz val="11"/>
        <color rgb="FFFF0000"/>
        <rFont val="Carlito"/>
      </rPr>
      <t>；本页全部为本次新增或修改内容</t>
    </r>
  </si>
  <si>
    <r>
      <t>专注状态断连重连同步协议</t>
    </r>
    <r>
      <rPr>
        <b/>
        <sz val="11"/>
        <color rgb="FFFF0000"/>
        <rFont val="Carlito"/>
        <family val="2"/>
      </rPr>
      <t xml:space="preserve"> · Ver 1.2.0</t>
    </r>
  </si>
  <si>
    <r>
      <rPr>
        <b/>
        <sz val="11"/>
        <color rgb="FFFF0000"/>
        <rFont val="Carlito"/>
      </rPr>
      <t>专注状态断连重连同步协议</t>
    </r>
    <r>
      <rPr>
        <b/>
        <sz val="11"/>
        <color rgb="FFFF0000"/>
        <rFont val="Carlito"/>
        <family val="2"/>
      </rPr>
      <t xml:space="preserve"> · Ver 1.2.0</t>
    </r>
  </si>
  <si>
    <t>Type 0x25</t>
  </si>
  <si>
    <t>Opcode 0x81</t>
  </si>
  <si>
    <r>
      <t xml:space="preserve">Device </t>
    </r>
    <r>
      <rPr>
        <sz val="11"/>
        <color rgb="FFFF0000"/>
        <rFont val="Carlito"/>
      </rPr>
      <t>→</t>
    </r>
    <r>
      <rPr>
        <sz val="11"/>
        <color rgb="FFFF0000"/>
        <rFont val="Carlito"/>
        <family val="2"/>
      </rPr>
      <t xml:space="preserve"> App</t>
    </r>
  </si>
  <si>
    <r>
      <t>SyncId=ResolveID</t>
    </r>
    <r>
      <rPr>
        <sz val="11"/>
        <color rgb="FFFF0000"/>
        <rFont val="Carlito"/>
      </rPr>
      <t>；</t>
    </r>
    <r>
      <rPr>
        <sz val="11"/>
        <color rgb="FFFF0000"/>
        <rFont val="Carlito"/>
        <family val="2"/>
      </rPr>
      <t xml:space="preserve">COMMITTED(0x02) </t>
    </r>
    <r>
      <rPr>
        <sz val="11"/>
        <color rgb="FFFF0000"/>
        <rFont val="Carlito"/>
      </rPr>
      <t>解锁</t>
    </r>
  </si>
  <si>
    <r>
      <t>App →</t>
    </r>
    <r>
      <rPr>
        <i/>
        <sz val="11"/>
        <color rgb="FFFF0000"/>
        <rFont val="Carlito"/>
        <family val="2"/>
      </rPr>
      <t xml:space="preserve"> Device</t>
    </r>
    <r>
      <rPr>
        <i/>
        <sz val="11"/>
        <color rgb="FFFF0000"/>
        <rFont val="Carlito"/>
      </rPr>
      <t>｜完成</t>
    </r>
    <r>
      <rPr>
        <i/>
        <sz val="11"/>
        <color rgb="FFFF0000"/>
        <rFont val="Carlito"/>
        <family val="2"/>
      </rPr>
      <t xml:space="preserve"> OP_BATCH </t>
    </r>
    <r>
      <rPr>
        <i/>
        <sz val="11"/>
        <color rgb="FFFF0000"/>
        <rFont val="Carlito"/>
      </rPr>
      <t>幂等处理后下发；设备返回匹配</t>
    </r>
    <r>
      <rPr>
        <i/>
        <sz val="11"/>
        <color rgb="FFFF0000"/>
        <rFont val="Carlito"/>
        <family val="2"/>
      </rPr>
      <t xml:space="preserve"> ResolveID </t>
    </r>
    <r>
      <rPr>
        <i/>
        <sz val="11"/>
        <color rgb="FFFF0000"/>
        <rFont val="Carlito"/>
      </rPr>
      <t>的</t>
    </r>
    <r>
      <rPr>
        <i/>
        <sz val="11"/>
        <color rgb="FFFF0000"/>
        <rFont val="Carlito"/>
        <family val="2"/>
      </rPr>
      <t xml:space="preserve"> RESULT/COMMITTED </t>
    </r>
    <r>
      <rPr>
        <i/>
        <sz val="11"/>
        <color rgb="FFFF0000"/>
        <rFont val="Carlito"/>
      </rPr>
      <t>后，</t>
    </r>
    <r>
      <rPr>
        <i/>
        <sz val="11"/>
        <color rgb="FFFF0000"/>
        <rFont val="Carlito"/>
        <family val="2"/>
      </rPr>
      <t xml:space="preserve">App </t>
    </r>
    <r>
      <rPr>
        <i/>
        <sz val="11"/>
        <color rgb="FFFF0000"/>
        <rFont val="Carlito"/>
      </rPr>
      <t>才能解除</t>
    </r>
    <r>
      <rPr>
        <i/>
        <sz val="11"/>
        <color rgb="FFFF0000"/>
        <rFont val="Carlito"/>
        <family val="2"/>
      </rPr>
      <t xml:space="preserve"> focusSyncLocked</t>
    </r>
  </si>
  <si>
    <r>
      <t xml:space="preserve">App </t>
    </r>
    <r>
      <rPr>
        <i/>
        <sz val="11"/>
        <color rgb="FFFF0000"/>
        <rFont val="Carlito"/>
      </rPr>
      <t>→</t>
    </r>
    <r>
      <rPr>
        <i/>
        <sz val="11"/>
        <color rgb="FFFF0000"/>
        <rFont val="Carlito"/>
        <family val="2"/>
      </rPr>
      <t xml:space="preserve"> Device</t>
    </r>
    <r>
      <rPr>
        <i/>
        <sz val="11"/>
        <color rgb="FFFF0000"/>
        <rFont val="Carlito"/>
      </rPr>
      <t>｜</t>
    </r>
    <r>
      <rPr>
        <i/>
        <sz val="11"/>
        <color rgb="FFFF0000"/>
        <rFont val="Carlito"/>
        <family val="2"/>
      </rPr>
      <t xml:space="preserve">App </t>
    </r>
    <r>
      <rPr>
        <i/>
        <sz val="11"/>
        <color rgb="FFFF0000"/>
        <rFont val="Carlito"/>
      </rPr>
      <t>完成</t>
    </r>
    <r>
      <rPr>
        <i/>
        <sz val="11"/>
        <color rgb="FFFF0000"/>
        <rFont val="Carlito"/>
        <family val="2"/>
      </rPr>
      <t xml:space="preserve"> OP_BATCH </t>
    </r>
    <r>
      <rPr>
        <i/>
        <sz val="11"/>
        <color rgb="FFFF0000"/>
        <rFont val="Carlito"/>
      </rPr>
      <t>幂等处理后下发；设备收到成功结果后才允许删除已</t>
    </r>
    <r>
      <rPr>
        <i/>
        <sz val="11"/>
        <color rgb="FFFF0000"/>
        <rFont val="Carlito"/>
        <family val="2"/>
      </rPr>
      <t xml:space="preserve"> ACK </t>
    </r>
    <r>
      <rPr>
        <i/>
        <sz val="11"/>
        <color rgb="FFFF0000"/>
        <rFont val="Carlito"/>
      </rPr>
      <t>操作并接受普通</t>
    </r>
    <r>
      <rPr>
        <i/>
        <sz val="11"/>
        <color rgb="FFFF0000"/>
        <rFont val="Carlito"/>
        <family val="2"/>
      </rPr>
      <t xml:space="preserve"> 0x14</t>
    </r>
  </si>
  <si>
    <r>
      <t>六、</t>
    </r>
    <r>
      <rPr>
        <b/>
        <sz val="11"/>
        <color rgb="FFFF0000"/>
        <rFont val="Carlito"/>
        <family val="2"/>
      </rPr>
      <t>FOCUS_RESOLVE</t>
    </r>
    <r>
      <rPr>
        <b/>
        <sz val="11"/>
        <color rgb="FFFF0000"/>
        <rFont val="Carlito"/>
      </rPr>
      <t>（</t>
    </r>
    <r>
      <rPr>
        <b/>
        <sz val="11"/>
        <color rgb="FFFF0000"/>
        <rFont val="Carlito"/>
        <family val="2"/>
      </rPr>
      <t>0x25 / Opcode 0x06</t>
    </r>
    <r>
      <rPr>
        <b/>
        <sz val="11"/>
        <color rgb="FFFF0000"/>
        <rFont val="Carlito"/>
      </rPr>
      <t>）</t>
    </r>
  </si>
  <si>
    <r>
      <rPr>
        <b/>
        <sz val="11"/>
        <color rgb="FFFF0000"/>
        <rFont val="Carlito"/>
      </rPr>
      <t>六、</t>
    </r>
    <r>
      <rPr>
        <b/>
        <sz val="11"/>
        <color rgb="FFFF0000"/>
        <rFont val="Carlito"/>
        <family val="2"/>
      </rPr>
      <t>FOCUS_RESOLVE</t>
    </r>
    <r>
      <rPr>
        <b/>
        <sz val="11"/>
        <color rgb="FFFF0000"/>
        <rFont val="Carlito"/>
      </rPr>
      <t>（</t>
    </r>
    <r>
      <rPr>
        <b/>
        <sz val="11"/>
        <color rgb="FFFF0000"/>
        <rFont val="Carlito"/>
        <family val="2"/>
      </rPr>
      <t>0x25 / Opcode 0x06</t>
    </r>
    <r>
      <rPr>
        <b/>
        <sz val="11"/>
        <color rgb="FFFF0000"/>
        <rFont val="Carlito"/>
      </rPr>
      <t>）</t>
    </r>
  </si>
  <si>
    <r>
      <t>二、</t>
    </r>
    <r>
      <rPr>
        <b/>
        <sz val="11"/>
        <color rgb="FFFF0000"/>
        <rFont val="Carlito"/>
        <family val="2"/>
      </rPr>
      <t xml:space="preserve">OfflineSync </t>
    </r>
    <r>
      <rPr>
        <b/>
        <sz val="11"/>
        <color rgb="FFFF0000"/>
        <rFont val="Carlito"/>
      </rPr>
      <t>专注</t>
    </r>
    <r>
      <rPr>
        <b/>
        <sz val="11"/>
        <color rgb="FFFF0000"/>
        <rFont val="Carlito"/>
        <family val="2"/>
      </rPr>
      <t xml:space="preserve"> Opcode </t>
    </r>
    <r>
      <rPr>
        <b/>
        <sz val="11"/>
        <color rgb="FFFF0000"/>
        <rFont val="Carlito"/>
      </rPr>
      <t>总览</t>
    </r>
  </si>
  <si>
    <r>
      <rPr>
        <b/>
        <sz val="11"/>
        <color rgb="FFFF0000"/>
        <rFont val="Carlito"/>
      </rPr>
      <t>二、</t>
    </r>
    <r>
      <rPr>
        <b/>
        <sz val="11"/>
        <color rgb="FFFF0000"/>
        <rFont val="Carlito"/>
        <family val="2"/>
      </rPr>
      <t xml:space="preserve">OfflineSync </t>
    </r>
    <r>
      <rPr>
        <b/>
        <sz val="11"/>
        <color rgb="FFFF0000"/>
        <rFont val="Carlito"/>
      </rPr>
      <t>专注</t>
    </r>
    <r>
      <rPr>
        <b/>
        <sz val="11"/>
        <color rgb="FFFF0000"/>
        <rFont val="Carlito"/>
        <family val="2"/>
      </rPr>
      <t xml:space="preserve"> Opcode </t>
    </r>
    <r>
      <rPr>
        <b/>
        <sz val="11"/>
        <color rgb="FFFF0000"/>
        <rFont val="Carlito"/>
      </rPr>
      <t>总览</t>
    </r>
  </si>
  <si>
    <r>
      <rPr>
        <sz val="11"/>
        <color rgb="FFFF0000"/>
        <rFont val="Carlito"/>
      </rPr>
      <t>操作处理完成</t>
    </r>
  </si>
  <si>
    <r>
      <rPr>
        <sz val="11"/>
        <color rgb="FFFF0000"/>
        <rFont val="Carlito"/>
      </rPr>
      <t>收到</t>
    </r>
    <r>
      <rPr>
        <sz val="11"/>
        <color rgb="FFFF0000"/>
        <rFont val="Carlito"/>
        <family val="2"/>
      </rPr>
      <t xml:space="preserve"> FOCUS_RESOLVE </t>
    </r>
    <r>
      <rPr>
        <sz val="11"/>
        <color rgb="FFFF0000"/>
        <rFont val="Carlito"/>
      </rPr>
      <t>后返回</t>
    </r>
    <r>
      <rPr>
        <sz val="11"/>
        <color rgb="FFFF0000"/>
        <rFont val="Carlito"/>
        <family val="2"/>
      </rPr>
      <t xml:space="preserve"> RESULT</t>
    </r>
  </si>
  <si>
    <r>
      <rPr>
        <sz val="11"/>
        <color rgb="FFFF0000"/>
        <rFont val="Carlito"/>
      </rPr>
      <t>发送</t>
    </r>
    <r>
      <rPr>
        <sz val="11"/>
        <color rgb="FFFF0000"/>
        <rFont val="Carlito"/>
        <family val="2"/>
      </rPr>
      <t xml:space="preserve"> OP_ACK</t>
    </r>
    <r>
      <rPr>
        <sz val="11"/>
        <color rgb="FFFF0000"/>
        <rFont val="Carlito"/>
      </rPr>
      <t>（如有）</t>
    </r>
    <r>
      <rPr>
        <sz val="11"/>
        <color rgb="FFFF0000"/>
        <rFont val="Carlito"/>
        <family val="2"/>
      </rPr>
      <t>+ FOCUS_RESOLVE</t>
    </r>
  </si>
  <si>
    <r>
      <rPr>
        <sz val="11"/>
        <color rgb="FFFF0000"/>
        <rFont val="Carlito"/>
      </rPr>
      <t>收到匹配</t>
    </r>
    <r>
      <rPr>
        <sz val="11"/>
        <color rgb="FFFF0000"/>
        <rFont val="Carlito"/>
        <family val="2"/>
      </rPr>
      <t xml:space="preserve"> ResolveID </t>
    </r>
    <r>
      <rPr>
        <sz val="11"/>
        <color rgb="FFFF0000"/>
        <rFont val="Carlito"/>
      </rPr>
      <t>的</t>
    </r>
    <r>
      <rPr>
        <sz val="11"/>
        <color rgb="FFFF0000"/>
        <rFont val="Carlito"/>
        <family val="2"/>
      </rPr>
      <t xml:space="preserve"> RESULT/COMMITTED</t>
    </r>
  </si>
  <si>
    <r>
      <rPr>
        <sz val="11"/>
        <color rgb="FFFF0000"/>
        <rFont val="Carlito"/>
      </rPr>
      <t>先删队列后确认</t>
    </r>
  </si>
  <si>
    <r>
      <rPr>
        <sz val="11"/>
        <color rgb="FFFF0000"/>
        <rFont val="Carlito"/>
      </rPr>
      <t>收到</t>
    </r>
    <r>
      <rPr>
        <sz val="11"/>
        <color rgb="FFFF0000"/>
        <rFont val="Carlito"/>
        <family val="2"/>
      </rPr>
      <t xml:space="preserve"> RESULT/COMMITTED</t>
    </r>
  </si>
  <si>
    <r>
      <rPr>
        <sz val="11"/>
        <color rgb="FFFF0000"/>
        <rFont val="Carlito"/>
      </rPr>
      <t>应用权威状态并恢复心跳</t>
    </r>
  </si>
  <si>
    <r>
      <rPr>
        <sz val="11"/>
        <color rgb="FFFF0000"/>
        <rFont val="Carlito"/>
      </rPr>
      <t>解除</t>
    </r>
    <r>
      <rPr>
        <sz val="11"/>
        <color rgb="FFFF0000"/>
        <rFont val="Carlito"/>
        <family val="2"/>
      </rPr>
      <t xml:space="preserve"> focusSyncLocked</t>
    </r>
    <r>
      <rPr>
        <sz val="11"/>
        <color rgb="FFFF0000"/>
        <rFont val="Carlito"/>
      </rPr>
      <t>，恢复普通业务同步</t>
    </r>
  </si>
  <si>
    <r>
      <t xml:space="preserve">ResolveID / TargetType / ResultCode </t>
    </r>
    <r>
      <rPr>
        <sz val="11"/>
        <color rgb="FFFF0000"/>
        <rFont val="Carlito"/>
      </rPr>
      <t>均匹配</t>
    </r>
  </si>
  <si>
    <r>
      <rPr>
        <sz val="11"/>
        <color rgb="FFFF0000"/>
        <rFont val="Carlito"/>
      </rPr>
      <t>立即发送</t>
    </r>
    <r>
      <rPr>
        <sz val="11"/>
        <color rgb="FFFF0000"/>
        <rFont val="Carlito"/>
        <family val="2"/>
      </rPr>
      <t xml:space="preserve"> OfflineSync COMMIT</t>
    </r>
    <r>
      <rPr>
        <sz val="11"/>
        <color rgb="FFFF0000"/>
        <rFont val="Carlito"/>
      </rPr>
      <t>；重复创建或结算</t>
    </r>
  </si>
  <si>
    <r>
      <rPr>
        <sz val="11"/>
        <color rgb="FFFF0000"/>
        <rFont val="Carlito"/>
      </rPr>
      <t>业务数据变化</t>
    </r>
  </si>
  <si>
    <r>
      <rPr>
        <sz val="11"/>
        <color rgb="FFFF0000"/>
        <rFont val="Carlito"/>
      </rPr>
      <t>普通</t>
    </r>
    <r>
      <rPr>
        <sz val="11"/>
        <color rgb="FFFF0000"/>
        <rFont val="Carlito"/>
        <family val="2"/>
      </rPr>
      <t xml:space="preserve"> 0x10 </t>
    </r>
    <r>
      <rPr>
        <sz val="11"/>
        <color rgb="FFFF0000"/>
        <rFont val="Carlito"/>
      </rPr>
      <t>只更新后台数据，不退出</t>
    </r>
    <r>
      <rPr>
        <sz val="11"/>
        <color rgb="FFFF0000"/>
        <rFont val="Carlito"/>
        <family val="2"/>
      </rPr>
      <t xml:space="preserve"> TaskIn</t>
    </r>
  </si>
  <si>
    <r>
      <rPr>
        <sz val="11"/>
        <color rgb="FFFF0000"/>
        <rFont val="Carlito"/>
      </rPr>
      <t>按需发送普通</t>
    </r>
    <r>
      <rPr>
        <sz val="11"/>
        <color rgb="FFFF0000"/>
        <rFont val="Carlito"/>
        <family val="2"/>
      </rPr>
      <t xml:space="preserve"> DayPack</t>
    </r>
    <r>
      <rPr>
        <sz val="11"/>
        <color rgb="FFFF0000"/>
        <rFont val="Carlito"/>
      </rPr>
      <t>；活动专注期间不发</t>
    </r>
    <r>
      <rPr>
        <sz val="11"/>
        <color rgb="FFFF0000"/>
        <rFont val="Carlito"/>
        <family val="2"/>
      </rPr>
      <t xml:space="preserve"> COMMIT</t>
    </r>
  </si>
  <si>
    <r>
      <rPr>
        <sz val="11"/>
        <color rgb="FFFF0000"/>
        <rFont val="Carlito"/>
      </rPr>
      <t>独立业务同步</t>
    </r>
  </si>
  <si>
    <r>
      <rPr>
        <sz val="11"/>
        <color rgb="FFFF0000"/>
        <rFont val="Carlito"/>
      </rPr>
      <t>用</t>
    </r>
    <r>
      <rPr>
        <sz val="11"/>
        <color rgb="FFFF0000"/>
        <rFont val="Carlito"/>
        <family val="2"/>
      </rPr>
      <t xml:space="preserve"> DayPack/COMMIT </t>
    </r>
    <r>
      <rPr>
        <sz val="11"/>
        <color rgb="FFFF0000"/>
        <rFont val="Carlito"/>
      </rPr>
      <t>驱动</t>
    </r>
    <r>
      <rPr>
        <sz val="11"/>
        <color rgb="FFFF0000"/>
        <rFont val="Carlito"/>
        <family val="2"/>
      </rPr>
      <t xml:space="preserve"> TaskIn </t>
    </r>
    <r>
      <rPr>
        <sz val="11"/>
        <color rgb="FFFF0000"/>
        <rFont val="Carlito"/>
      </rPr>
      <t>退出</t>
    </r>
  </si>
  <si>
    <t>八、重连同步顺序</t>
  </si>
  <si>
    <r>
      <rPr>
        <b/>
        <sz val="11"/>
        <color rgb="FFFF0000"/>
        <rFont val="Carlito"/>
      </rPr>
      <t>八、重连同步顺序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</si>
</sst>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name val="Carlito"/>
    </font>
    <font>
      <b/>
      <sz val="10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b/>
      <sz val="11"/>
      <name val="Carlito"/>
    </font>
    <font>
      <i/>
      <sz val="9"/>
      <name val="Carlito"/>
    </font>
    <font>
      <i/>
      <sz val="11"/>
      <name val="Carlito"/>
    </font>
    <font>
      <b/>
      <sz val="16"/>
      <name val="Microsoft YaHei"/>
      <family val="2"/>
      <charset val="134"/>
    </font>
    <font>
      <i/>
      <sz val="10"/>
      <name val="Microsoft YaHei"/>
      <family val="2"/>
      <charset val="134"/>
    </font>
    <font>
      <sz val="10"/>
      <name val="Microsoft YaHei"/>
      <family val="2"/>
      <charset val="134"/>
    </font>
    <font>
      <b/>
      <sz val="11"/>
      <name val="Microsoft YaHei"/>
      <family val="2"/>
      <charset val="134"/>
    </font>
    <font>
      <b/>
      <sz val="10"/>
      <name val="Microsoft YaHei"/>
      <family val="2"/>
      <charset val="134"/>
    </font>
    <font>
      <b/>
      <sz val="11"/>
      <name val="Carlito"/>
      <family val="2"/>
    </font>
    <font>
      <sz val="11"/>
      <name val="Carlito"/>
      <family val="2"/>
    </font>
    <font>
      <i/>
      <sz val="11"/>
      <name val="Carlito"/>
      <family val="2"/>
    </font>
    <font>
      <sz val="11"/>
      <name val="Arial"/>
      <family val="2"/>
    </font>
    <font>
      <sz val="11"/>
      <name val="微软雅黑"/>
      <family val="2"/>
    </font>
    <font>
      <b/>
      <sz val="15"/>
      <name val="Carlito"/>
    </font>
    <font>
      <sz val="10"/>
      <name val="Carlito"/>
      <family val="2"/>
    </font>
    <font>
      <sz val="10"/>
      <name val="Carlito"/>
    </font>
    <font>
      <b/>
      <sz val="10"/>
      <name val="Carlito"/>
      <family val="2"/>
    </font>
    <font>
      <i/>
      <sz val="9"/>
      <name val="Carlito"/>
      <family val="2"/>
    </font>
    <font>
      <b/>
      <sz val="15"/>
      <name val="Carlito"/>
      <family val="2"/>
    </font>
    <font>
      <sz val="9"/>
      <name val="Carlito"/>
      <family val="2"/>
    </font>
    <font>
      <sz val="9"/>
      <name val="Carlito"/>
    </font>
    <font>
      <b/>
      <sz val="15"/>
      <name val="微软雅黑"/>
      <family val="2"/>
      <charset val="134"/>
    </font>
    <font>
      <sz val="9"/>
      <name val="微软雅黑"/>
      <family val="2"/>
    </font>
    <font>
      <sz val="9"/>
      <name val="Arial"/>
      <family val="2"/>
    </font>
    <font>
      <b/>
      <sz val="11"/>
      <name val="微软雅黑"/>
      <family val="2"/>
    </font>
    <font>
      <b/>
      <sz val="11"/>
      <name val="Arial"/>
      <family val="2"/>
    </font>
    <font>
      <i/>
      <sz val="9"/>
      <name val="微软雅黑"/>
      <family val="2"/>
    </font>
    <font>
      <b/>
      <sz val="15"/>
      <name val="微软雅黑"/>
      <family val="2"/>
    </font>
    <font>
      <b/>
      <sz val="15"/>
      <name val="Arial"/>
      <family val="2"/>
    </font>
    <font>
      <i/>
      <sz val="11"/>
      <color rgb="FFFF0000"/>
      <name val="Carlito"/>
    </font>
    <font>
      <i/>
      <sz val="11"/>
      <color rgb="FFFF0000"/>
      <name val="Carlito"/>
      <family val="2"/>
    </font>
    <font>
      <sz val="11"/>
      <color rgb="FFFF0000"/>
      <name val="Carlito"/>
      <family val="2"/>
    </font>
    <font>
      <sz val="11"/>
      <color rgb="FFFF0000"/>
      <name val="Carlito"/>
    </font>
    <font>
      <sz val="11"/>
      <color rgb="FFFF0000"/>
      <name val="微软雅黑"/>
      <family val="2"/>
      <charset val="134"/>
    </font>
    <font>
      <i/>
      <sz val="11"/>
      <color rgb="FFFF0000"/>
      <name val="微软雅黑"/>
      <family val="2"/>
      <charset val="134"/>
    </font>
    <font>
      <b/>
      <sz val="11"/>
      <color rgb="FFFF0000"/>
      <name val="Carlito"/>
    </font>
    <font>
      <b/>
      <sz val="11"/>
      <color rgb="FFFF0000"/>
      <name val="Carlito"/>
      <family val="2"/>
    </font>
  </fonts>
  <fills count="27">
    <fill>
      <patternFill patternType="none"/>
    </fill>
    <fill>
      <patternFill patternType="gray125"/>
    </fill>
    <fill>
      <patternFill patternType="solid">
        <fgColor rgb="FF134E4A"/>
      </patternFill>
    </fill>
    <fill>
      <patternFill patternType="solid">
        <fgColor rgb="FFF0FDFA"/>
      </patternFill>
    </fill>
    <fill>
      <patternFill patternType="solid">
        <fgColor rgb="FF0F766E"/>
      </patternFill>
    </fill>
    <fill>
      <patternFill patternType="solid">
        <fgColor rgb="FFCCFBF1"/>
      </patternFill>
    </fill>
    <fill>
      <patternFill patternType="solid">
        <fgColor rgb="FF155E75"/>
      </patternFill>
    </fill>
    <fill>
      <patternFill patternType="solid">
        <fgColor rgb="FFFEF3C7"/>
      </patternFill>
    </fill>
    <fill>
      <patternFill patternType="solid">
        <fgColor rgb="FFF0FDFA"/>
      </patternFill>
    </fill>
    <fill>
      <patternFill patternType="solid">
        <fgColor rgb="FF155E75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0F766E"/>
      </patternFill>
    </fill>
    <fill>
      <patternFill patternType="solid">
        <fgColor rgb="FFCCFBF1"/>
      </patternFill>
    </fill>
    <fill>
      <patternFill patternType="solid">
        <fgColor rgb="FFFFFFFF"/>
      </patternFill>
    </fill>
    <fill>
      <patternFill patternType="solid">
        <fgColor rgb="FFF0FDFA"/>
      </patternFill>
    </fill>
    <fill>
      <patternFill patternType="solid">
        <fgColor rgb="FF134E4A"/>
      </patternFill>
    </fill>
    <fill>
      <patternFill patternType="solid">
        <fgColor rgb="FF155E75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FFF2C2"/>
      </patternFill>
    </fill>
    <fill>
      <patternFill patternType="solid">
        <fgColor rgb="FFEAF7F5"/>
      </patternFill>
    </fill>
    <fill>
      <patternFill patternType="solid">
        <fgColor rgb="FFD9EDEE"/>
      </patternFill>
    </fill>
    <fill>
      <patternFill patternType="solid">
        <fgColor rgb="FFEDF7F7"/>
      </patternFill>
    </fill>
    <fill>
      <patternFill patternType="solid">
        <fgColor rgb="FFBFDDE0"/>
      </patternFill>
    </fill>
    <fill>
      <patternFill patternType="solid">
        <fgColor rgb="FFD6ECEE"/>
      </patternFill>
    </fill>
    <fill>
      <patternFill patternType="solid">
        <fgColor rgb="FFF0F8F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37373"/>
      </left>
      <right style="thin">
        <color rgb="FF737373"/>
      </right>
      <top style="thin">
        <color rgb="FF737373"/>
      </top>
      <bottom style="thin">
        <color rgb="FF737373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37373"/>
      </left>
      <right style="thin">
        <color rgb="FF737373"/>
      </right>
      <top style="thin">
        <color rgb="FF737373"/>
      </top>
      <bottom/>
      <diagonal/>
    </border>
    <border>
      <left style="thin">
        <color rgb="FF4F4F4F"/>
      </left>
      <right style="thin">
        <color rgb="FF4F4F4F"/>
      </right>
      <top style="thin">
        <color rgb="FF4F4F4F"/>
      </top>
      <bottom style="thin">
        <color rgb="FF4F4F4F"/>
      </bottom>
      <diagonal/>
    </border>
    <border>
      <left style="medium">
        <color rgb="FF0F6B78"/>
      </left>
      <right/>
      <top style="medium">
        <color rgb="FF0F6B78"/>
      </top>
      <bottom style="medium">
        <color rgb="FF0F6B78"/>
      </bottom>
      <diagonal/>
    </border>
    <border>
      <left/>
      <right/>
      <top style="medium">
        <color rgb="FF0F6B78"/>
      </top>
      <bottom style="medium">
        <color rgb="FF0F6B78"/>
      </bottom>
      <diagonal/>
    </border>
    <border>
      <left/>
      <right style="medium">
        <color rgb="FF0F6B78"/>
      </right>
      <top style="medium">
        <color rgb="FF0F6B78"/>
      </top>
      <bottom style="medium">
        <color rgb="FF0F6B78"/>
      </bottom>
      <diagonal/>
    </border>
    <border>
      <left style="thin">
        <color rgb="FF7FAEB3"/>
      </left>
      <right/>
      <top style="thin">
        <color rgb="FF7FAEB3"/>
      </top>
      <bottom style="thin">
        <color rgb="FF7FAEB3"/>
      </bottom>
      <diagonal/>
    </border>
    <border>
      <left/>
      <right/>
      <top style="thin">
        <color rgb="FF7FAEB3"/>
      </top>
      <bottom style="thin">
        <color rgb="FF7FAEB3"/>
      </bottom>
      <diagonal/>
    </border>
    <border>
      <left/>
      <right style="thin">
        <color rgb="FF7FAEB3"/>
      </right>
      <top style="thin">
        <color rgb="FF7FAEB3"/>
      </top>
      <bottom style="thin">
        <color rgb="FF7FAEB3"/>
      </bottom>
      <diagonal/>
    </border>
    <border>
      <left style="medium">
        <color rgb="FF0F6B78"/>
      </left>
      <right style="medium">
        <color rgb="FF0F6B78"/>
      </right>
      <top style="medium">
        <color rgb="FF0F6B78"/>
      </top>
      <bottom style="medium">
        <color rgb="FF0F6B78"/>
      </bottom>
      <diagonal/>
    </border>
    <border>
      <left style="thin">
        <color rgb="FF5E9298"/>
      </left>
      <right style="thin">
        <color rgb="FF5E9298"/>
      </right>
      <top style="thin">
        <color rgb="FF5E9298"/>
      </top>
      <bottom style="thin">
        <color rgb="FF5E9298"/>
      </bottom>
      <diagonal/>
    </border>
    <border>
      <left style="thin">
        <color rgb="FFA7C7CA"/>
      </left>
      <right style="thin">
        <color rgb="FFA7C7CA"/>
      </right>
      <top style="thin">
        <color rgb="FFA7C7CA"/>
      </top>
      <bottom style="thin">
        <color rgb="FFA7C7CA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4F4F4F"/>
      </left>
      <right style="thin">
        <color rgb="FF4F4F4F"/>
      </right>
      <top style="thin">
        <color rgb="FF4F4F4F"/>
      </top>
      <bottom/>
      <diagonal/>
    </border>
    <border>
      <left style="thin">
        <color rgb="FF737373"/>
      </left>
      <right style="thin">
        <color rgb="FF737373"/>
      </right>
      <top/>
      <bottom style="thin">
        <color rgb="FF737373"/>
      </bottom>
      <diagonal/>
    </border>
  </borders>
  <cellStyleXfs count="2">
    <xf numFmtId="0" fontId="0" fillId="0" borderId="0"/>
    <xf numFmtId="0" fontId="2" fillId="0" borderId="0"/>
  </cellStyleXfs>
  <cellXfs count="143">
    <xf numFmtId="0" fontId="0" fillId="0" borderId="0" xfId="0"/>
    <xf numFmtId="49" fontId="0" fillId="8" borderId="2" xfId="0" applyNumberFormat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0" fillId="0" borderId="0" xfId="0" applyFont="1"/>
    <xf numFmtId="0" fontId="0" fillId="10" borderId="2" xfId="0" applyNumberFormat="1" applyFont="1" applyFill="1" applyBorder="1" applyAlignment="1">
      <alignment horizontal="center" vertical="center" wrapText="1"/>
    </xf>
    <xf numFmtId="49" fontId="0" fillId="0" borderId="2" xfId="0" applyNumberFormat="1" applyFont="1" applyFill="1" applyBorder="1" applyAlignment="1">
      <alignment horizontal="center" vertical="center" wrapText="1"/>
    </xf>
    <xf numFmtId="0" fontId="0" fillId="11" borderId="2" xfId="0" applyNumberFormat="1" applyFont="1" applyFill="1" applyBorder="1" applyAlignment="1">
      <alignment horizontal="center" vertical="center" wrapText="1"/>
    </xf>
    <xf numFmtId="49" fontId="0" fillId="8" borderId="7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0" fillId="8" borderId="1" xfId="0" applyNumberFormat="1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>
      <alignment vertical="center" wrapText="1"/>
    </xf>
    <xf numFmtId="0" fontId="12" fillId="25" borderId="16" xfId="0" applyNumberFormat="1" applyFont="1" applyFill="1" applyBorder="1" applyAlignment="1">
      <alignment horizontal="center" vertical="center" wrapText="1"/>
    </xf>
    <xf numFmtId="0" fontId="10" fillId="0" borderId="17" xfId="0" applyNumberFormat="1" applyFont="1" applyFill="1" applyBorder="1" applyAlignment="1">
      <alignment vertical="center" wrapText="1"/>
    </xf>
    <xf numFmtId="0" fontId="12" fillId="26" borderId="17" xfId="0" applyNumberFormat="1" applyFont="1" applyFill="1" applyBorder="1" applyAlignment="1">
      <alignment vertical="center" wrapText="1"/>
    </xf>
    <xf numFmtId="0" fontId="14" fillId="0" borderId="0" xfId="0" applyFont="1"/>
    <xf numFmtId="0" fontId="14" fillId="13" borderId="2" xfId="0" applyNumberFormat="1" applyFont="1" applyFill="1" applyBorder="1" applyAlignment="1">
      <alignment horizontal="center" vertical="center" wrapText="1"/>
    </xf>
    <xf numFmtId="0" fontId="14" fillId="14" borderId="2" xfId="0" applyNumberFormat="1" applyFont="1" applyFill="1" applyBorder="1" applyAlignment="1">
      <alignment horizontal="center" vertical="center" wrapText="1"/>
    </xf>
    <xf numFmtId="0" fontId="14" fillId="15" borderId="2" xfId="0" applyNumberFormat="1" applyFont="1" applyFill="1" applyBorder="1" applyAlignment="1">
      <alignment horizontal="center" vertical="center" wrapText="1"/>
    </xf>
    <xf numFmtId="49" fontId="14" fillId="14" borderId="2" xfId="0" applyNumberFormat="1" applyFont="1" applyFill="1" applyBorder="1" applyAlignment="1">
      <alignment horizontal="center" vertical="center" wrapText="1"/>
    </xf>
    <xf numFmtId="49" fontId="14" fillId="15" borderId="2" xfId="0" applyNumberFormat="1" applyFont="1" applyFill="1" applyBorder="1" applyAlignment="1">
      <alignment horizontal="center" vertical="center" wrapText="1"/>
    </xf>
    <xf numFmtId="0" fontId="14" fillId="18" borderId="2" xfId="0" applyNumberFormat="1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/>
    <xf numFmtId="0" fontId="0" fillId="0" borderId="3" xfId="0" applyNumberFormat="1" applyFont="1" applyFill="1" applyBorder="1"/>
    <xf numFmtId="0" fontId="14" fillId="0" borderId="0" xfId="0" applyFont="1" applyAlignment="1">
      <alignment horizontal="center" vertical="center"/>
    </xf>
    <xf numFmtId="0" fontId="21" fillId="5" borderId="1" xfId="1" applyFont="1" applyFill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14" fillId="3" borderId="1" xfId="1" applyFont="1" applyFill="1" applyBorder="1" applyAlignment="1">
      <alignment horizontal="center" vertical="center" wrapText="1"/>
    </xf>
    <xf numFmtId="0" fontId="21" fillId="5" borderId="1" xfId="0" applyNumberFormat="1" applyFont="1" applyFill="1" applyBorder="1" applyAlignment="1">
      <alignment horizontal="center" vertical="center" wrapText="1"/>
    </xf>
    <xf numFmtId="0" fontId="14" fillId="0" borderId="1" xfId="0" applyNumberFormat="1" applyFont="1" applyFill="1" applyBorder="1" applyAlignment="1">
      <alignment horizontal="center" vertical="center" wrapText="1"/>
    </xf>
    <xf numFmtId="0" fontId="14" fillId="3" borderId="1" xfId="0" applyNumberFormat="1" applyFont="1" applyFill="1" applyBorder="1" applyAlignment="1">
      <alignment horizontal="center" vertical="center" wrapText="1"/>
    </xf>
    <xf numFmtId="0" fontId="14" fillId="0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2" fillId="19" borderId="8" xfId="0" applyNumberFormat="1" applyFont="1" applyFill="1" applyBorder="1" applyAlignment="1">
      <alignment horizontal="center" vertical="center" wrapText="1"/>
    </xf>
    <xf numFmtId="0" fontId="2" fillId="21" borderId="8" xfId="0" applyNumberFormat="1" applyFont="1" applyFill="1" applyBorder="1" applyAlignment="1">
      <alignment horizontal="center" vertical="center" wrapText="1"/>
    </xf>
    <xf numFmtId="0" fontId="1" fillId="19" borderId="8" xfId="0" applyNumberFormat="1" applyFont="1" applyFill="1" applyBorder="1" applyAlignment="1">
      <alignment horizontal="center" vertical="center" wrapText="1"/>
    </xf>
    <xf numFmtId="0" fontId="25" fillId="19" borderId="8" xfId="0" applyNumberFormat="1" applyFont="1" applyFill="1" applyBorder="1" applyAlignment="1">
      <alignment horizontal="center" vertical="center" wrapText="1"/>
    </xf>
    <xf numFmtId="0" fontId="2" fillId="20" borderId="19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center"/>
    </xf>
    <xf numFmtId="0" fontId="2" fillId="0" borderId="5" xfId="0" applyNumberFormat="1" applyFont="1" applyFill="1" applyBorder="1" applyAlignment="1">
      <alignment horizontal="center" vertical="center"/>
    </xf>
    <xf numFmtId="0" fontId="2" fillId="0" borderId="1" xfId="1" applyFont="1" applyBorder="1" applyAlignment="1">
      <alignment horizontal="center"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20" borderId="8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 wrapText="1"/>
    </xf>
    <xf numFmtId="0" fontId="7" fillId="0" borderId="0" xfId="0" applyNumberFormat="1" applyFont="1" applyFill="1" applyBorder="1" applyAlignment="1">
      <alignment vertical="center" wrapText="1"/>
    </xf>
    <xf numFmtId="49" fontId="0" fillId="0" borderId="5" xfId="0" applyNumberFormat="1" applyFont="1" applyFill="1" applyBorder="1"/>
    <xf numFmtId="0" fontId="0" fillId="0" borderId="5" xfId="0" applyNumberFormat="1" applyFont="1" applyFill="1" applyBorder="1"/>
    <xf numFmtId="49" fontId="34" fillId="0" borderId="1" xfId="0" applyNumberFormat="1" applyFont="1" applyFill="1" applyBorder="1" applyAlignment="1">
      <alignment horizontal="center" vertical="center" wrapText="1"/>
    </xf>
    <xf numFmtId="49" fontId="35" fillId="0" borderId="1" xfId="0" applyNumberFormat="1" applyFont="1" applyFill="1" applyBorder="1" applyAlignment="1">
      <alignment horizontal="center" vertical="center" wrapText="1"/>
    </xf>
    <xf numFmtId="0" fontId="35" fillId="0" borderId="1" xfId="0" applyNumberFormat="1" applyFont="1" applyFill="1" applyBorder="1" applyAlignment="1">
      <alignment horizontal="center" vertical="center" wrapText="1"/>
    </xf>
    <xf numFmtId="49" fontId="36" fillId="8" borderId="7" xfId="0" applyNumberFormat="1" applyFont="1" applyFill="1" applyBorder="1" applyAlignment="1">
      <alignment horizontal="center" vertical="center" wrapText="1"/>
    </xf>
    <xf numFmtId="49" fontId="37" fillId="0" borderId="2" xfId="0" applyNumberFormat="1" applyFont="1" applyFill="1" applyBorder="1" applyAlignment="1">
      <alignment horizontal="center" vertical="center" wrapText="1"/>
    </xf>
    <xf numFmtId="49" fontId="36" fillId="0" borderId="2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horizontal="center" vertical="center" wrapText="1"/>
    </xf>
    <xf numFmtId="0" fontId="5" fillId="4" borderId="1" xfId="1" applyFont="1" applyFill="1" applyBorder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18" fillId="2" borderId="1" xfId="1" applyFont="1" applyFill="1" applyBorder="1" applyAlignment="1">
      <alignment horizontal="center" vertical="center"/>
    </xf>
    <xf numFmtId="0" fontId="20" fillId="3" borderId="1" xfId="0" applyNumberFormat="1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0" fontId="5" fillId="4" borderId="18" xfId="0" applyNumberFormat="1" applyFont="1" applyFill="1" applyBorder="1" applyAlignment="1">
      <alignment horizontal="center" vertical="center"/>
    </xf>
    <xf numFmtId="0" fontId="5" fillId="6" borderId="18" xfId="1" applyFont="1" applyFill="1" applyBorder="1" applyAlignment="1">
      <alignment horizontal="center" vertical="center"/>
    </xf>
    <xf numFmtId="0" fontId="25" fillId="0" borderId="1" xfId="1" applyFont="1" applyBorder="1" applyAlignment="1">
      <alignment horizontal="center" vertical="center" wrapText="1"/>
    </xf>
    <xf numFmtId="0" fontId="1" fillId="7" borderId="1" xfId="1" applyFont="1" applyFill="1" applyBorder="1" applyAlignment="1">
      <alignment horizontal="center" vertical="center"/>
    </xf>
    <xf numFmtId="0" fontId="25" fillId="7" borderId="1" xfId="1" applyFont="1" applyFill="1" applyBorder="1" applyAlignment="1">
      <alignment horizontal="center" vertical="center" wrapText="1"/>
    </xf>
    <xf numFmtId="0" fontId="1" fillId="20" borderId="8" xfId="0" applyNumberFormat="1" applyFont="1" applyFill="1" applyBorder="1" applyAlignment="1">
      <alignment horizontal="center" vertical="center" wrapText="1"/>
    </xf>
    <xf numFmtId="0" fontId="25" fillId="20" borderId="8" xfId="0" applyNumberFormat="1" applyFont="1" applyFill="1" applyBorder="1" applyAlignment="1">
      <alignment horizontal="center" vertical="center" wrapText="1"/>
    </xf>
    <xf numFmtId="0" fontId="5" fillId="20" borderId="19" xfId="0" applyNumberFormat="1" applyFont="1" applyFill="1" applyBorder="1" applyAlignment="1">
      <alignment horizontal="center" vertical="center" wrapText="1"/>
    </xf>
    <xf numFmtId="0" fontId="2" fillId="20" borderId="19" xfId="0" applyNumberFormat="1" applyFont="1" applyFill="1" applyBorder="1" applyAlignment="1">
      <alignment horizontal="center" vertical="center" wrapText="1"/>
    </xf>
    <xf numFmtId="0" fontId="5" fillId="6" borderId="1" xfId="0" applyNumberFormat="1" applyFont="1" applyFill="1" applyBorder="1" applyAlignment="1">
      <alignment horizontal="center" vertical="center"/>
    </xf>
    <xf numFmtId="0" fontId="25" fillId="0" borderId="1" xfId="0" applyNumberFormat="1" applyFont="1" applyFill="1" applyBorder="1" applyAlignment="1">
      <alignment horizontal="center" vertical="center" wrapText="1"/>
    </xf>
    <xf numFmtId="0" fontId="5" fillId="6" borderId="1" xfId="1" applyFont="1" applyFill="1" applyBorder="1" applyAlignment="1">
      <alignment horizontal="center" vertical="center"/>
    </xf>
    <xf numFmtId="0" fontId="25" fillId="7" borderId="1" xfId="0" applyNumberFormat="1" applyFont="1" applyFill="1" applyBorder="1" applyAlignment="1">
      <alignment horizontal="center" vertical="center" wrapText="1"/>
    </xf>
    <xf numFmtId="0" fontId="20" fillId="3" borderId="1" xfId="1" applyFont="1" applyFill="1" applyBorder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/>
    </xf>
    <xf numFmtId="0" fontId="26" fillId="2" borderId="1" xfId="1" applyFont="1" applyFill="1" applyBorder="1" applyAlignment="1">
      <alignment horizontal="center" vertical="center"/>
    </xf>
    <xf numFmtId="0" fontId="1" fillId="7" borderId="4" xfId="0" applyNumberFormat="1" applyFont="1" applyFill="1" applyBorder="1" applyAlignment="1">
      <alignment horizontal="center" vertical="center"/>
    </xf>
    <xf numFmtId="0" fontId="1" fillId="7" borderId="6" xfId="0" applyNumberFormat="1" applyFont="1" applyFill="1" applyBorder="1" applyAlignment="1">
      <alignment horizontal="center" vertical="center"/>
    </xf>
    <xf numFmtId="0" fontId="25" fillId="7" borderId="4" xfId="0" applyNumberFormat="1" applyFont="1" applyFill="1" applyBorder="1" applyAlignment="1">
      <alignment horizontal="center" vertical="center" wrapText="1"/>
    </xf>
    <xf numFmtId="0" fontId="25" fillId="7" borderId="5" xfId="0" applyNumberFormat="1" applyFont="1" applyFill="1" applyBorder="1" applyAlignment="1">
      <alignment horizontal="center" vertical="center" wrapText="1"/>
    </xf>
    <xf numFmtId="0" fontId="25" fillId="7" borderId="6" xfId="0" applyNumberFormat="1" applyFont="1" applyFill="1" applyBorder="1" applyAlignment="1">
      <alignment horizontal="center" vertical="center" wrapText="1"/>
    </xf>
    <xf numFmtId="0" fontId="19" fillId="3" borderId="1" xfId="1" applyFont="1" applyFill="1" applyBorder="1" applyAlignment="1">
      <alignment horizontal="center" vertical="center"/>
    </xf>
    <xf numFmtId="0" fontId="13" fillId="6" borderId="1" xfId="1" applyFont="1" applyFill="1" applyBorder="1" applyAlignment="1">
      <alignment horizontal="center" vertical="center"/>
    </xf>
    <xf numFmtId="0" fontId="24" fillId="0" borderId="1" xfId="1" applyFont="1" applyBorder="1" applyAlignment="1">
      <alignment horizontal="center" vertical="center" wrapText="1"/>
    </xf>
    <xf numFmtId="0" fontId="21" fillId="7" borderId="1" xfId="1" applyFont="1" applyFill="1" applyBorder="1" applyAlignment="1">
      <alignment horizontal="center" vertical="center"/>
    </xf>
    <xf numFmtId="0" fontId="24" fillId="7" borderId="1" xfId="1" applyFont="1" applyFill="1" applyBorder="1" applyAlignment="1">
      <alignment horizontal="center" vertical="center" wrapText="1"/>
    </xf>
    <xf numFmtId="0" fontId="13" fillId="6" borderId="1" xfId="0" applyNumberFormat="1" applyFont="1" applyFill="1" applyBorder="1" applyAlignment="1">
      <alignment horizontal="center" vertical="center"/>
    </xf>
    <xf numFmtId="0" fontId="24" fillId="0" borderId="1" xfId="0" applyNumberFormat="1" applyFont="1" applyFill="1" applyBorder="1" applyAlignment="1">
      <alignment horizontal="center" vertical="center" wrapText="1"/>
    </xf>
    <xf numFmtId="0" fontId="21" fillId="7" borderId="1" xfId="0" applyNumberFormat="1" applyFont="1" applyFill="1" applyBorder="1" applyAlignment="1">
      <alignment horizontal="center" vertical="center"/>
    </xf>
    <xf numFmtId="0" fontId="24" fillId="7" borderId="1" xfId="0" applyNumberFormat="1" applyFont="1" applyFill="1" applyBorder="1" applyAlignment="1">
      <alignment horizontal="center" vertical="center" wrapText="1"/>
    </xf>
    <xf numFmtId="0" fontId="22" fillId="0" borderId="1" xfId="1" applyFont="1" applyBorder="1" applyAlignment="1">
      <alignment horizontal="center" vertical="center" wrapText="1"/>
    </xf>
    <xf numFmtId="0" fontId="22" fillId="0" borderId="0" xfId="1" applyFont="1" applyAlignment="1">
      <alignment horizontal="center" vertical="center" wrapText="1"/>
    </xf>
    <xf numFmtId="0" fontId="13" fillId="4" borderId="1" xfId="1" applyFont="1" applyFill="1" applyBorder="1" applyAlignment="1">
      <alignment horizontal="center" vertical="center"/>
    </xf>
    <xf numFmtId="0" fontId="13" fillId="12" borderId="2" xfId="0" applyNumberFormat="1" applyFont="1" applyFill="1" applyBorder="1" applyAlignment="1">
      <alignment horizontal="center" vertical="center" wrapText="1"/>
    </xf>
    <xf numFmtId="0" fontId="7" fillId="8" borderId="0" xfId="0" applyNumberFormat="1" applyFont="1" applyFill="1" applyBorder="1" applyAlignment="1">
      <alignment horizontal="center" vertical="center" wrapText="1"/>
    </xf>
    <xf numFmtId="0" fontId="0" fillId="9" borderId="2" xfId="0" applyNumberFormat="1" applyFont="1" applyFill="1" applyBorder="1" applyAlignment="1">
      <alignment horizontal="center" vertical="center" wrapText="1"/>
    </xf>
    <xf numFmtId="0" fontId="0" fillId="9" borderId="20" xfId="0" applyNumberFormat="1" applyFont="1" applyFill="1" applyBorder="1" applyAlignment="1">
      <alignment horizontal="center" vertical="center" wrapText="1"/>
    </xf>
    <xf numFmtId="0" fontId="15" fillId="15" borderId="2" xfId="0" applyNumberFormat="1" applyFont="1" applyFill="1" applyBorder="1" applyAlignment="1">
      <alignment horizontal="center" vertical="center" wrapText="1"/>
    </xf>
    <xf numFmtId="0" fontId="13" fillId="17" borderId="2" xfId="0" applyNumberFormat="1" applyFont="1" applyFill="1" applyBorder="1" applyAlignment="1">
      <alignment horizontal="center" vertical="center" wrapText="1"/>
    </xf>
    <xf numFmtId="0" fontId="10" fillId="0" borderId="17" xfId="0" applyNumberFormat="1" applyFont="1" applyFill="1" applyBorder="1" applyAlignment="1">
      <alignment vertical="center" wrapText="1"/>
    </xf>
    <xf numFmtId="0" fontId="11" fillId="24" borderId="15" xfId="0" applyNumberFormat="1" applyFont="1" applyFill="1" applyBorder="1" applyAlignment="1">
      <alignment horizontal="left" vertical="center" wrapText="1"/>
    </xf>
    <xf numFmtId="0" fontId="12" fillId="25" borderId="16" xfId="0" applyNumberFormat="1" applyFont="1" applyFill="1" applyBorder="1" applyAlignment="1">
      <alignment horizontal="center" vertical="center" wrapText="1"/>
    </xf>
    <xf numFmtId="0" fontId="8" fillId="22" borderId="9" xfId="0" applyNumberFormat="1" applyFont="1" applyFill="1" applyBorder="1" applyAlignment="1">
      <alignment horizontal="center" vertical="center" wrapText="1"/>
    </xf>
    <xf numFmtId="0" fontId="8" fillId="22" borderId="10" xfId="0" applyNumberFormat="1" applyFont="1" applyFill="1" applyBorder="1" applyAlignment="1">
      <alignment horizontal="center" vertical="center" wrapText="1"/>
    </xf>
    <xf numFmtId="0" fontId="8" fillId="22" borderId="11" xfId="0" applyNumberFormat="1" applyFont="1" applyFill="1" applyBorder="1" applyAlignment="1">
      <alignment horizontal="center" vertical="center" wrapText="1"/>
    </xf>
    <xf numFmtId="0" fontId="9" fillId="23" borderId="12" xfId="0" applyNumberFormat="1" applyFont="1" applyFill="1" applyBorder="1" applyAlignment="1">
      <alignment horizontal="left" vertical="center" wrapText="1"/>
    </xf>
    <xf numFmtId="0" fontId="9" fillId="23" borderId="13" xfId="0" applyNumberFormat="1" applyFont="1" applyFill="1" applyBorder="1" applyAlignment="1">
      <alignment horizontal="left" vertical="center" wrapText="1"/>
    </xf>
    <xf numFmtId="0" fontId="9" fillId="23" borderId="14" xfId="0" applyNumberFormat="1" applyFont="1" applyFill="1" applyBorder="1" applyAlignment="1">
      <alignment horizontal="left" vertical="center" wrapText="1"/>
    </xf>
    <xf numFmtId="49" fontId="38" fillId="0" borderId="2" xfId="0" applyNumberFormat="1" applyFont="1" applyFill="1" applyBorder="1" applyAlignment="1">
      <alignment horizontal="center" vertical="center" wrapText="1"/>
    </xf>
    <xf numFmtId="0" fontId="37" fillId="2" borderId="2" xfId="0" applyNumberFormat="1" applyFont="1" applyFill="1" applyBorder="1" applyAlignment="1">
      <alignment horizontal="center" vertical="center" wrapText="1"/>
    </xf>
    <xf numFmtId="0" fontId="36" fillId="2" borderId="2" xfId="0" applyNumberFormat="1" applyFont="1" applyFill="1" applyBorder="1" applyAlignment="1">
      <alignment horizontal="center" vertical="center" wrapText="1"/>
    </xf>
    <xf numFmtId="0" fontId="39" fillId="3" borderId="0" xfId="0" applyNumberFormat="1" applyFont="1" applyFill="1" applyBorder="1" applyAlignment="1">
      <alignment horizontal="center" vertical="center" wrapText="1"/>
    </xf>
    <xf numFmtId="0" fontId="34" fillId="8" borderId="0" xfId="0" applyNumberFormat="1" applyFont="1" applyFill="1" applyBorder="1" applyAlignment="1">
      <alignment horizontal="center" vertical="center" wrapText="1"/>
    </xf>
    <xf numFmtId="49" fontId="14" fillId="0" borderId="2" xfId="0" applyNumberFormat="1" applyFont="1" applyFill="1" applyBorder="1" applyAlignment="1">
      <alignment horizontal="center" vertical="center" wrapText="1"/>
    </xf>
    <xf numFmtId="49" fontId="38" fillId="8" borderId="2" xfId="0" applyNumberFormat="1" applyFont="1" applyFill="1" applyBorder="1" applyAlignment="1">
      <alignment horizontal="center" vertical="center" wrapText="1"/>
    </xf>
    <xf numFmtId="49" fontId="37" fillId="15" borderId="2" xfId="0" applyNumberFormat="1" applyFont="1" applyFill="1" applyBorder="1" applyAlignment="1">
      <alignment horizontal="center" vertical="center" wrapText="1"/>
    </xf>
    <xf numFmtId="49" fontId="37" fillId="0" borderId="2" xfId="0" applyNumberFormat="1" applyFont="1" applyBorder="1" applyAlignment="1">
      <alignment horizontal="center" vertical="center" wrapText="1"/>
    </xf>
    <xf numFmtId="49" fontId="38" fillId="0" borderId="2" xfId="0" applyNumberFormat="1" applyFont="1" applyBorder="1" applyAlignment="1">
      <alignment horizontal="center" vertical="center" wrapText="1"/>
    </xf>
    <xf numFmtId="0" fontId="34" fillId="15" borderId="2" xfId="0" applyFont="1" applyFill="1" applyBorder="1" applyAlignment="1">
      <alignment horizontal="center" vertical="center" wrapText="1"/>
    </xf>
    <xf numFmtId="0" fontId="35" fillId="15" borderId="2" xfId="0" applyFont="1" applyFill="1" applyBorder="1" applyAlignment="1">
      <alignment horizontal="center" vertical="center" wrapText="1"/>
    </xf>
    <xf numFmtId="0" fontId="40" fillId="16" borderId="2" xfId="0" applyNumberFormat="1" applyFont="1" applyFill="1" applyBorder="1" applyAlignment="1">
      <alignment horizontal="center" vertical="center" wrapText="1"/>
    </xf>
    <xf numFmtId="0" fontId="41" fillId="16" borderId="2" xfId="0" applyNumberFormat="1" applyFont="1" applyFill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 wrapText="1"/>
    </xf>
    <xf numFmtId="0" fontId="40" fillId="17" borderId="2" xfId="0" applyNumberFormat="1" applyFont="1" applyFill="1" applyBorder="1" applyAlignment="1">
      <alignment horizontal="center" vertical="center" wrapText="1"/>
    </xf>
    <xf numFmtId="0" fontId="41" fillId="17" borderId="2" xfId="0" applyNumberFormat="1" applyFont="1" applyFill="1" applyBorder="1" applyAlignment="1">
      <alignment horizontal="center" vertical="center" wrapText="1"/>
    </xf>
    <xf numFmtId="0" fontId="37" fillId="19" borderId="2" xfId="0" applyFont="1" applyFill="1" applyBorder="1" applyAlignment="1">
      <alignment horizontal="center" vertical="center" wrapText="1"/>
    </xf>
    <xf numFmtId="0" fontId="36" fillId="19" borderId="2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"/>
  <sheetViews>
    <sheetView topLeftCell="A17" workbookViewId="0">
      <selection activeCell="I70" sqref="A1:XFD1048576"/>
    </sheetView>
  </sheetViews>
  <sheetFormatPr defaultRowHeight="14.25"/>
  <cols>
    <col min="1" max="1" width="22" style="33" customWidth="1"/>
    <col min="2" max="2" width="42" style="33" customWidth="1"/>
    <col min="3" max="3" width="12" style="33" customWidth="1"/>
    <col min="4" max="4" width="15.5" style="33" customWidth="1"/>
    <col min="5" max="5" width="20" style="33" customWidth="1"/>
    <col min="6" max="6" width="52" style="33" customWidth="1"/>
    <col min="7" max="16384" width="9" style="33"/>
  </cols>
  <sheetData>
    <row r="1" spans="1:6" ht="33.950000000000003" customHeight="1">
      <c r="A1" s="71" t="s">
        <v>1658</v>
      </c>
      <c r="B1" s="71"/>
      <c r="C1" s="71"/>
      <c r="D1" s="71"/>
      <c r="E1" s="71"/>
      <c r="F1" s="71"/>
    </row>
    <row r="2" spans="1:6" ht="21.95" customHeight="1">
      <c r="A2" s="72" t="s">
        <v>1018</v>
      </c>
      <c r="B2" s="72"/>
      <c r="C2" s="72"/>
      <c r="D2" s="72"/>
      <c r="E2" s="72"/>
      <c r="F2" s="72"/>
    </row>
    <row r="4" spans="1:6" ht="24" customHeight="1">
      <c r="A4" s="69" t="s">
        <v>0</v>
      </c>
      <c r="B4" s="69"/>
      <c r="C4" s="69"/>
      <c r="D4" s="69"/>
      <c r="E4" s="69"/>
      <c r="F4" s="69"/>
    </row>
    <row r="5" spans="1:6" ht="21.95" customHeight="1">
      <c r="A5" s="39" t="s">
        <v>1</v>
      </c>
      <c r="B5" s="39" t="s">
        <v>2</v>
      </c>
      <c r="C5" s="39" t="s">
        <v>3</v>
      </c>
      <c r="D5" s="39" t="s">
        <v>4</v>
      </c>
      <c r="E5" s="39" t="s">
        <v>5</v>
      </c>
      <c r="F5" s="39" t="s">
        <v>6</v>
      </c>
    </row>
    <row r="6" spans="1:6" ht="81" customHeight="1">
      <c r="A6" s="47" t="s">
        <v>7</v>
      </c>
      <c r="B6" s="47" t="s">
        <v>8</v>
      </c>
      <c r="C6" s="47" t="s">
        <v>9</v>
      </c>
      <c r="D6" s="47" t="s">
        <v>9</v>
      </c>
      <c r="E6" s="47" t="s">
        <v>10</v>
      </c>
      <c r="F6" s="47" t="s">
        <v>11</v>
      </c>
    </row>
    <row r="7" spans="1:6" ht="51" customHeight="1">
      <c r="A7" s="48" t="s">
        <v>12</v>
      </c>
      <c r="B7" s="48" t="s">
        <v>13</v>
      </c>
      <c r="C7" s="48" t="s">
        <v>9</v>
      </c>
      <c r="D7" s="48" t="s">
        <v>14</v>
      </c>
      <c r="E7" s="48" t="s">
        <v>15</v>
      </c>
      <c r="F7" s="48" t="s">
        <v>16</v>
      </c>
    </row>
    <row r="8" spans="1:6" ht="51" customHeight="1">
      <c r="A8" s="47" t="s">
        <v>17</v>
      </c>
      <c r="B8" s="47" t="s">
        <v>18</v>
      </c>
      <c r="C8" s="47" t="s">
        <v>9</v>
      </c>
      <c r="D8" s="47" t="s">
        <v>19</v>
      </c>
      <c r="E8" s="47" t="s">
        <v>20</v>
      </c>
      <c r="F8" s="47" t="s">
        <v>16</v>
      </c>
    </row>
    <row r="9" spans="1:6" ht="51" customHeight="1">
      <c r="A9" s="48" t="s">
        <v>21</v>
      </c>
      <c r="B9" s="48" t="s">
        <v>22</v>
      </c>
      <c r="C9" s="48" t="s">
        <v>9</v>
      </c>
      <c r="D9" s="48" t="s">
        <v>9</v>
      </c>
      <c r="E9" s="48" t="s">
        <v>23</v>
      </c>
      <c r="F9" s="48" t="s">
        <v>24</v>
      </c>
    </row>
    <row r="10" spans="1:6" ht="51" customHeight="1">
      <c r="A10" s="47" t="s">
        <v>25</v>
      </c>
      <c r="B10" s="47" t="s">
        <v>26</v>
      </c>
      <c r="C10" s="47" t="s">
        <v>9</v>
      </c>
      <c r="D10" s="47" t="s">
        <v>9</v>
      </c>
      <c r="E10" s="47" t="s">
        <v>27</v>
      </c>
      <c r="F10" s="47" t="s">
        <v>24</v>
      </c>
    </row>
    <row r="11" spans="1:6" ht="81" customHeight="1">
      <c r="A11" s="48" t="s">
        <v>28</v>
      </c>
      <c r="B11" s="48" t="s">
        <v>29</v>
      </c>
      <c r="C11" s="48" t="s">
        <v>30</v>
      </c>
      <c r="D11" s="48" t="s">
        <v>31</v>
      </c>
      <c r="E11" s="48" t="s">
        <v>32</v>
      </c>
      <c r="F11" s="48" t="s">
        <v>33</v>
      </c>
    </row>
    <row r="12" spans="1:6" ht="90" customHeight="1">
      <c r="A12" s="47" t="s">
        <v>34</v>
      </c>
      <c r="B12" s="47" t="s">
        <v>35</v>
      </c>
      <c r="C12" s="47" t="s">
        <v>9</v>
      </c>
      <c r="D12" s="47" t="s">
        <v>9</v>
      </c>
      <c r="E12" s="47" t="s">
        <v>36</v>
      </c>
      <c r="F12" s="47" t="s">
        <v>37</v>
      </c>
    </row>
    <row r="13" spans="1:6" ht="18" customHeight="1">
      <c r="A13" s="59"/>
      <c r="B13" s="59"/>
      <c r="C13" s="59"/>
      <c r="D13" s="59"/>
      <c r="E13" s="59"/>
      <c r="F13" s="59"/>
    </row>
    <row r="15" spans="1:6" ht="24" customHeight="1">
      <c r="A15" s="69" t="s">
        <v>38</v>
      </c>
      <c r="B15" s="69"/>
      <c r="C15" s="69"/>
      <c r="D15" s="69"/>
      <c r="E15" s="69"/>
      <c r="F15" s="69"/>
    </row>
    <row r="16" spans="1:6" ht="21.95" customHeight="1">
      <c r="A16" s="39" t="s">
        <v>39</v>
      </c>
      <c r="B16" s="39" t="s">
        <v>40</v>
      </c>
      <c r="C16" s="39" t="s">
        <v>41</v>
      </c>
      <c r="D16" s="39" t="s">
        <v>42</v>
      </c>
      <c r="E16" s="39" t="s">
        <v>43</v>
      </c>
      <c r="F16" s="39" t="s">
        <v>5</v>
      </c>
    </row>
    <row r="17" spans="1:6" ht="51" customHeight="1">
      <c r="A17" s="47" t="s">
        <v>44</v>
      </c>
      <c r="B17" s="47" t="s">
        <v>45</v>
      </c>
      <c r="C17" s="47" t="s">
        <v>46</v>
      </c>
      <c r="D17" s="47" t="s">
        <v>47</v>
      </c>
      <c r="E17" s="47" t="s">
        <v>48</v>
      </c>
      <c r="F17" s="47" t="s">
        <v>49</v>
      </c>
    </row>
    <row r="18" spans="1:6" ht="36" customHeight="1">
      <c r="A18" s="48" t="s">
        <v>50</v>
      </c>
      <c r="B18" s="48" t="s">
        <v>45</v>
      </c>
      <c r="C18" s="48" t="s">
        <v>45</v>
      </c>
      <c r="D18" s="48" t="s">
        <v>47</v>
      </c>
      <c r="E18" s="48" t="s">
        <v>51</v>
      </c>
      <c r="F18" s="48" t="s">
        <v>52</v>
      </c>
    </row>
    <row r="21" spans="1:6" ht="24" customHeight="1">
      <c r="A21" s="69" t="s">
        <v>53</v>
      </c>
      <c r="B21" s="69"/>
      <c r="C21" s="69"/>
      <c r="D21" s="69"/>
      <c r="E21" s="69"/>
      <c r="F21" s="69"/>
    </row>
    <row r="22" spans="1:6" ht="21.95" customHeight="1">
      <c r="A22" s="39" t="s">
        <v>54</v>
      </c>
      <c r="B22" s="39" t="s">
        <v>55</v>
      </c>
      <c r="C22" s="39" t="s">
        <v>3</v>
      </c>
      <c r="D22" s="39" t="s">
        <v>5</v>
      </c>
      <c r="E22" s="39"/>
      <c r="F22" s="39"/>
    </row>
    <row r="23" spans="1:6" ht="81" customHeight="1">
      <c r="A23" s="47">
        <v>0</v>
      </c>
      <c r="B23" s="47" t="s">
        <v>40</v>
      </c>
      <c r="C23" s="47">
        <v>1</v>
      </c>
      <c r="D23" s="47" t="s">
        <v>56</v>
      </c>
      <c r="E23" s="47"/>
      <c r="F23" s="47"/>
    </row>
    <row r="24" spans="1:6" ht="90" customHeight="1">
      <c r="A24" s="48" t="s">
        <v>57</v>
      </c>
      <c r="B24" s="48" t="s">
        <v>58</v>
      </c>
      <c r="C24" s="48">
        <v>2</v>
      </c>
      <c r="D24" s="48" t="s">
        <v>59</v>
      </c>
      <c r="E24" s="48"/>
      <c r="F24" s="48"/>
    </row>
    <row r="25" spans="1:6" ht="90" customHeight="1">
      <c r="A25" s="47" t="s">
        <v>60</v>
      </c>
      <c r="B25" s="47" t="s">
        <v>61</v>
      </c>
      <c r="C25" s="47">
        <v>2</v>
      </c>
      <c r="D25" s="47" t="s">
        <v>62</v>
      </c>
      <c r="E25" s="47"/>
      <c r="F25" s="47"/>
    </row>
    <row r="26" spans="1:6" ht="90" customHeight="1">
      <c r="A26" s="48" t="s">
        <v>63</v>
      </c>
      <c r="B26" s="48" t="s">
        <v>64</v>
      </c>
      <c r="C26" s="48">
        <v>2</v>
      </c>
      <c r="D26" s="48" t="s">
        <v>65</v>
      </c>
      <c r="E26" s="48"/>
      <c r="F26" s="48"/>
    </row>
    <row r="27" spans="1:6" ht="81" customHeight="1">
      <c r="A27" s="47" t="s">
        <v>66</v>
      </c>
      <c r="B27" s="47" t="s">
        <v>67</v>
      </c>
      <c r="C27" s="47">
        <v>2</v>
      </c>
      <c r="D27" s="47" t="s">
        <v>68</v>
      </c>
      <c r="E27" s="47"/>
      <c r="F27" s="47"/>
    </row>
    <row r="28" spans="1:6" ht="90" customHeight="1">
      <c r="A28" s="48" t="s">
        <v>69</v>
      </c>
      <c r="B28" s="48" t="s">
        <v>70</v>
      </c>
      <c r="C28" s="48">
        <v>2</v>
      </c>
      <c r="D28" s="48" t="s">
        <v>71</v>
      </c>
      <c r="E28" s="48"/>
      <c r="F28" s="48"/>
    </row>
    <row r="29" spans="1:6" ht="51" customHeight="1">
      <c r="A29" s="47" t="s">
        <v>72</v>
      </c>
      <c r="B29" s="47" t="s">
        <v>42</v>
      </c>
      <c r="C29" s="47" t="s">
        <v>73</v>
      </c>
      <c r="D29" s="47" t="s">
        <v>74</v>
      </c>
      <c r="E29" s="47"/>
      <c r="F29" s="47"/>
    </row>
    <row r="31" spans="1:6" ht="36" customHeight="1">
      <c r="A31" s="68" t="s">
        <v>1019</v>
      </c>
      <c r="B31" s="68"/>
      <c r="C31" s="68"/>
      <c r="D31" s="68"/>
      <c r="E31" s="68"/>
      <c r="F31" s="68"/>
    </row>
    <row r="34" spans="1:6" ht="24" customHeight="1">
      <c r="A34" s="69" t="s">
        <v>75</v>
      </c>
      <c r="B34" s="69"/>
      <c r="C34" s="69"/>
      <c r="D34" s="69"/>
      <c r="E34" s="69"/>
      <c r="F34" s="69"/>
    </row>
    <row r="35" spans="1:6" ht="21.95" customHeight="1">
      <c r="A35" s="39" t="s">
        <v>76</v>
      </c>
      <c r="B35" s="39" t="s">
        <v>77</v>
      </c>
      <c r="C35" s="39" t="s">
        <v>78</v>
      </c>
      <c r="D35" s="39" t="s">
        <v>79</v>
      </c>
      <c r="E35" s="39" t="s">
        <v>5</v>
      </c>
      <c r="F35" s="39"/>
    </row>
    <row r="36" spans="1:6" ht="90" customHeight="1">
      <c r="A36" s="47" t="s">
        <v>80</v>
      </c>
      <c r="B36" s="47" t="s">
        <v>81</v>
      </c>
      <c r="C36" s="47" t="s">
        <v>82</v>
      </c>
      <c r="D36" s="47">
        <v>45</v>
      </c>
      <c r="E36" s="47" t="s">
        <v>83</v>
      </c>
      <c r="F36" s="47"/>
    </row>
    <row r="37" spans="1:6" ht="90" customHeight="1">
      <c r="A37" s="48" t="s">
        <v>84</v>
      </c>
      <c r="B37" s="48" t="s">
        <v>85</v>
      </c>
      <c r="C37" s="48" t="s">
        <v>86</v>
      </c>
      <c r="D37" s="48">
        <v>53</v>
      </c>
      <c r="E37" s="48" t="s">
        <v>87</v>
      </c>
      <c r="F37" s="48"/>
    </row>
    <row r="40" spans="1:6" ht="24" customHeight="1">
      <c r="A40" s="69" t="s">
        <v>88</v>
      </c>
      <c r="B40" s="69"/>
      <c r="C40" s="69"/>
      <c r="D40" s="69"/>
      <c r="E40" s="69"/>
      <c r="F40" s="69"/>
    </row>
    <row r="41" spans="1:6" ht="21.95" customHeight="1">
      <c r="A41" s="39" t="s">
        <v>54</v>
      </c>
      <c r="B41" s="39" t="s">
        <v>55</v>
      </c>
      <c r="C41" s="39" t="s">
        <v>3</v>
      </c>
      <c r="D41" s="39" t="s">
        <v>5</v>
      </c>
      <c r="E41" s="39"/>
      <c r="F41" s="39"/>
    </row>
    <row r="42" spans="1:6" ht="36" customHeight="1">
      <c r="A42" s="47">
        <v>0</v>
      </c>
      <c r="B42" s="47" t="s">
        <v>89</v>
      </c>
      <c r="C42" s="47">
        <v>1</v>
      </c>
      <c r="D42" s="47" t="s">
        <v>90</v>
      </c>
      <c r="E42" s="47"/>
      <c r="F42" s="47"/>
    </row>
    <row r="43" spans="1:6" ht="51" customHeight="1">
      <c r="A43" s="48">
        <v>1</v>
      </c>
      <c r="B43" s="48" t="s">
        <v>91</v>
      </c>
      <c r="C43" s="48">
        <v>1</v>
      </c>
      <c r="D43" s="48" t="s">
        <v>92</v>
      </c>
      <c r="E43" s="48"/>
      <c r="F43" s="48"/>
    </row>
    <row r="44" spans="1:6" ht="51" customHeight="1">
      <c r="A44" s="47" t="s">
        <v>93</v>
      </c>
      <c r="B44" s="47" t="s">
        <v>94</v>
      </c>
      <c r="C44" s="47">
        <v>8</v>
      </c>
      <c r="D44" s="47" t="s">
        <v>95</v>
      </c>
      <c r="E44" s="47"/>
      <c r="F44" s="47"/>
    </row>
    <row r="45" spans="1:6" ht="81" customHeight="1">
      <c r="A45" s="48" t="s">
        <v>96</v>
      </c>
      <c r="B45" s="48" t="s">
        <v>97</v>
      </c>
      <c r="C45" s="48">
        <v>4</v>
      </c>
      <c r="D45" s="48" t="s">
        <v>98</v>
      </c>
      <c r="E45" s="48"/>
      <c r="F45" s="48"/>
    </row>
    <row r="46" spans="1:6" ht="66" customHeight="1">
      <c r="A46" s="47" t="s">
        <v>99</v>
      </c>
      <c r="B46" s="47" t="s">
        <v>100</v>
      </c>
      <c r="C46" s="47">
        <v>2</v>
      </c>
      <c r="D46" s="47" t="s">
        <v>101</v>
      </c>
      <c r="E46" s="47"/>
      <c r="F46" s="47"/>
    </row>
    <row r="47" spans="1:6" ht="51" customHeight="1">
      <c r="A47" s="48" t="s">
        <v>102</v>
      </c>
      <c r="B47" s="48" t="s">
        <v>103</v>
      </c>
      <c r="C47" s="48" t="s">
        <v>73</v>
      </c>
      <c r="D47" s="48" t="s">
        <v>104</v>
      </c>
      <c r="E47" s="48"/>
      <c r="F47" s="48"/>
    </row>
    <row r="48" spans="1:6" ht="81" customHeight="1">
      <c r="A48" s="47" t="s">
        <v>105</v>
      </c>
      <c r="B48" s="47" t="s">
        <v>106</v>
      </c>
      <c r="C48" s="47">
        <v>32</v>
      </c>
      <c r="D48" s="47" t="s">
        <v>107</v>
      </c>
      <c r="E48" s="47"/>
      <c r="F48" s="47"/>
    </row>
    <row r="50" spans="1:6" ht="36" customHeight="1">
      <c r="A50" s="70" t="s">
        <v>108</v>
      </c>
      <c r="B50" s="70"/>
      <c r="C50" s="70"/>
      <c r="D50" s="70"/>
      <c r="E50" s="70"/>
      <c r="F50" s="70"/>
    </row>
  </sheetData>
  <mergeCells count="9">
    <mergeCell ref="A31:F31"/>
    <mergeCell ref="A34:F34"/>
    <mergeCell ref="A40:F40"/>
    <mergeCell ref="A50:F50"/>
    <mergeCell ref="A1:F1"/>
    <mergeCell ref="A4:F4"/>
    <mergeCell ref="A15:F15"/>
    <mergeCell ref="A21:F21"/>
    <mergeCell ref="A2:F2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7"/>
  <sheetViews>
    <sheetView topLeftCell="A4" workbookViewId="0">
      <selection activeCell="J15" sqref="A1:XFD1048576"/>
    </sheetView>
  </sheetViews>
  <sheetFormatPr defaultRowHeight="14.25"/>
  <cols>
    <col min="1" max="1" width="10" style="33" customWidth="1"/>
    <col min="2" max="2" width="24" style="33" customWidth="1"/>
    <col min="3" max="4" width="22" style="33" customWidth="1"/>
    <col min="5" max="5" width="46" style="33" customWidth="1"/>
    <col min="6" max="6" width="13" style="33" customWidth="1"/>
    <col min="7" max="16384" width="9" style="33"/>
  </cols>
  <sheetData>
    <row r="1" spans="1:6" ht="33.950000000000003" customHeight="1">
      <c r="A1" s="71" t="s">
        <v>109</v>
      </c>
      <c r="B1" s="71"/>
      <c r="C1" s="71"/>
      <c r="D1" s="71"/>
      <c r="E1" s="71"/>
      <c r="F1" s="71"/>
    </row>
    <row r="2" spans="1:6" ht="21.95" customHeight="1">
      <c r="A2" s="72" t="s">
        <v>1020</v>
      </c>
      <c r="B2" s="72"/>
      <c r="C2" s="72"/>
      <c r="D2" s="72"/>
      <c r="E2" s="72"/>
      <c r="F2" s="72"/>
    </row>
    <row r="4" spans="1:6" ht="24" customHeight="1">
      <c r="A4" s="73" t="s">
        <v>1655</v>
      </c>
      <c r="B4" s="73"/>
      <c r="C4" s="73"/>
      <c r="D4" s="73"/>
      <c r="E4" s="73"/>
      <c r="F4" s="73"/>
    </row>
    <row r="5" spans="1:6" ht="21.95" customHeight="1">
      <c r="A5" s="39" t="s">
        <v>40</v>
      </c>
      <c r="B5" s="39" t="s">
        <v>110</v>
      </c>
      <c r="C5" s="39" t="s">
        <v>111</v>
      </c>
      <c r="D5" s="39" t="s">
        <v>112</v>
      </c>
      <c r="E5" s="39" t="s">
        <v>5</v>
      </c>
      <c r="F5" s="39" t="s">
        <v>113</v>
      </c>
    </row>
    <row r="6" spans="1:6" ht="29.1" customHeight="1">
      <c r="A6" s="47" t="s">
        <v>81</v>
      </c>
      <c r="B6" s="47" t="s">
        <v>114</v>
      </c>
      <c r="C6" s="47" t="str">
        <f>'App命令-简单'!C11</f>
        <v>变长</v>
      </c>
      <c r="D6" s="47" t="s">
        <v>115</v>
      </c>
      <c r="E6" s="47" t="s">
        <v>116</v>
      </c>
      <c r="F6" s="47" t="s">
        <v>117</v>
      </c>
    </row>
    <row r="7" spans="1:6" ht="29.1" customHeight="1">
      <c r="A7" s="48" t="s">
        <v>85</v>
      </c>
      <c r="B7" s="48" t="s">
        <v>118</v>
      </c>
      <c r="C7" s="48" t="str">
        <f>'App命令-简单'!C19</f>
        <v>变长</v>
      </c>
      <c r="D7" s="48" t="s">
        <v>115</v>
      </c>
      <c r="E7" s="48" t="s">
        <v>119</v>
      </c>
      <c r="F7" s="48" t="s">
        <v>120</v>
      </c>
    </row>
    <row r="8" spans="1:6" ht="29.1" customHeight="1">
      <c r="A8" s="47" t="s">
        <v>121</v>
      </c>
      <c r="B8" s="47" t="s">
        <v>122</v>
      </c>
      <c r="C8" s="47" t="str">
        <f>'App命令-简单'!C27</f>
        <v>变长</v>
      </c>
      <c r="D8" s="35" t="s">
        <v>391</v>
      </c>
      <c r="E8" s="35" t="s">
        <v>1021</v>
      </c>
      <c r="F8" s="47" t="s">
        <v>123</v>
      </c>
    </row>
    <row r="9" spans="1:6" ht="29.1" customHeight="1">
      <c r="A9" s="48" t="s">
        <v>124</v>
      </c>
      <c r="B9" s="48" t="s">
        <v>125</v>
      </c>
      <c r="C9" s="48" t="str">
        <f>'App命令-简单'!C38</f>
        <v>变长</v>
      </c>
      <c r="D9" s="48" t="s">
        <v>115</v>
      </c>
      <c r="E9" s="48" t="s">
        <v>126</v>
      </c>
      <c r="F9" s="48" t="s">
        <v>127</v>
      </c>
    </row>
    <row r="10" spans="1:6" ht="29.1" customHeight="1">
      <c r="A10" s="47" t="s">
        <v>128</v>
      </c>
      <c r="B10" s="47" t="s">
        <v>129</v>
      </c>
      <c r="C10" s="47">
        <f>'App命令-简单'!C50</f>
        <v>6</v>
      </c>
      <c r="D10" s="47" t="s">
        <v>115</v>
      </c>
      <c r="E10" s="47" t="s">
        <v>130</v>
      </c>
      <c r="F10" s="47" t="s">
        <v>131</v>
      </c>
    </row>
    <row r="11" spans="1:6" ht="29.1" customHeight="1">
      <c r="A11" s="48" t="s">
        <v>132</v>
      </c>
      <c r="B11" s="48" t="s">
        <v>133</v>
      </c>
      <c r="C11" s="48" t="str">
        <f>'App命令-复杂'!C22</f>
        <v>变长</v>
      </c>
      <c r="D11" s="48" t="s">
        <v>134</v>
      </c>
      <c r="E11" s="48" t="s">
        <v>135</v>
      </c>
      <c r="F11" s="48" t="s">
        <v>136</v>
      </c>
    </row>
    <row r="12" spans="1:6" ht="29.1" customHeight="1">
      <c r="A12" s="47" t="s">
        <v>137</v>
      </c>
      <c r="B12" s="47" t="s">
        <v>138</v>
      </c>
      <c r="C12" s="47" t="str">
        <f>'App命令-复杂'!C33</f>
        <v>变长</v>
      </c>
      <c r="D12" s="47" t="s">
        <v>134</v>
      </c>
      <c r="E12" s="47" t="s">
        <v>139</v>
      </c>
      <c r="F12" s="47" t="s">
        <v>140</v>
      </c>
    </row>
    <row r="13" spans="1:6" ht="29.1" customHeight="1">
      <c r="A13" s="48" t="s">
        <v>141</v>
      </c>
      <c r="B13" s="48" t="s">
        <v>142</v>
      </c>
      <c r="C13" s="48">
        <f>'App命令-简单'!C57</f>
        <v>1</v>
      </c>
      <c r="D13" s="48" t="s">
        <v>115</v>
      </c>
      <c r="E13" s="48" t="s">
        <v>143</v>
      </c>
      <c r="F13" s="48" t="s">
        <v>144</v>
      </c>
    </row>
    <row r="14" spans="1:6" ht="29.1" customHeight="1">
      <c r="A14" s="47" t="s">
        <v>145</v>
      </c>
      <c r="B14" s="47" t="s">
        <v>146</v>
      </c>
      <c r="C14" s="47" t="str">
        <f>'App命令-简单'!C66</f>
        <v>变长</v>
      </c>
      <c r="D14" s="47" t="s">
        <v>115</v>
      </c>
      <c r="E14" s="47" t="s">
        <v>147</v>
      </c>
      <c r="F14" s="47" t="s">
        <v>148</v>
      </c>
    </row>
    <row r="15" spans="1:6" ht="29.1" customHeight="1">
      <c r="A15" s="36" t="s">
        <v>149</v>
      </c>
      <c r="B15" s="36" t="s">
        <v>150</v>
      </c>
      <c r="C15" s="36" t="s">
        <v>151</v>
      </c>
      <c r="D15" s="36" t="s">
        <v>115</v>
      </c>
      <c r="E15" s="36" t="s">
        <v>152</v>
      </c>
      <c r="F15" s="36" t="s">
        <v>153</v>
      </c>
    </row>
    <row r="16" spans="1:6" ht="29.1" customHeight="1">
      <c r="A16" s="47" t="s">
        <v>154</v>
      </c>
      <c r="B16" s="47" t="s">
        <v>155</v>
      </c>
      <c r="C16" s="47" t="str">
        <f>'App命令-复杂'!C56</f>
        <v>变长</v>
      </c>
      <c r="D16" s="47" t="s">
        <v>134</v>
      </c>
      <c r="E16" s="47" t="s">
        <v>156</v>
      </c>
      <c r="F16" s="47" t="s">
        <v>157</v>
      </c>
    </row>
    <row r="17" spans="1:11" ht="29.1" customHeight="1">
      <c r="A17" s="48" t="s">
        <v>158</v>
      </c>
      <c r="B17" s="48" t="s">
        <v>159</v>
      </c>
      <c r="C17" s="48" t="str">
        <f>'App命令-简单'!C91</f>
        <v>变长</v>
      </c>
      <c r="D17" s="48" t="s">
        <v>160</v>
      </c>
      <c r="E17" s="48" t="s">
        <v>161</v>
      </c>
      <c r="F17" s="48" t="s">
        <v>162</v>
      </c>
    </row>
    <row r="18" spans="1:11" ht="29.1" customHeight="1">
      <c r="A18" s="47" t="s">
        <v>163</v>
      </c>
      <c r="B18" s="47" t="s">
        <v>164</v>
      </c>
      <c r="C18" s="47">
        <f>'App命令-简单'!C80</f>
        <v>1</v>
      </c>
      <c r="D18" s="2" t="s">
        <v>115</v>
      </c>
      <c r="E18" s="47" t="s">
        <v>165</v>
      </c>
      <c r="F18" s="47" t="s">
        <v>166</v>
      </c>
    </row>
    <row r="19" spans="1:11" ht="29.1" customHeight="1">
      <c r="A19" s="48" t="s">
        <v>167</v>
      </c>
      <c r="B19" s="48" t="s">
        <v>168</v>
      </c>
      <c r="C19" s="48">
        <f>'App命令-简单'!C98</f>
        <v>0</v>
      </c>
      <c r="D19" s="48" t="s">
        <v>115</v>
      </c>
      <c r="E19" s="48" t="s">
        <v>169</v>
      </c>
      <c r="F19" s="48" t="s">
        <v>170</v>
      </c>
    </row>
    <row r="20" spans="1:11" ht="29.1" customHeight="1">
      <c r="A20" s="47" t="s">
        <v>171</v>
      </c>
      <c r="B20" s="47" t="s">
        <v>172</v>
      </c>
      <c r="C20" s="47">
        <f>'App命令-简单'!C105</f>
        <v>1</v>
      </c>
      <c r="D20" s="47" t="s">
        <v>115</v>
      </c>
      <c r="E20" s="47" t="s">
        <v>173</v>
      </c>
      <c r="F20" s="47" t="s">
        <v>174</v>
      </c>
    </row>
    <row r="21" spans="1:11" ht="29.1" customHeight="1">
      <c r="A21" s="48" t="s">
        <v>175</v>
      </c>
      <c r="B21" s="48" t="s">
        <v>176</v>
      </c>
      <c r="C21" s="48">
        <f>'App命令-简单'!C113</f>
        <v>5</v>
      </c>
      <c r="D21" s="48" t="s">
        <v>115</v>
      </c>
      <c r="E21" s="48" t="s">
        <v>177</v>
      </c>
      <c r="F21" s="48" t="s">
        <v>178</v>
      </c>
    </row>
    <row r="22" spans="1:11" ht="29.1" customHeight="1">
      <c r="A22" s="47" t="s">
        <v>179</v>
      </c>
      <c r="B22" s="47" t="s">
        <v>180</v>
      </c>
      <c r="C22" s="47" t="str">
        <f>'App命令-复杂'!C70</f>
        <v>变长</v>
      </c>
      <c r="D22" s="47" t="s">
        <v>134</v>
      </c>
      <c r="E22" s="47" t="s">
        <v>181</v>
      </c>
      <c r="F22" s="47" t="s">
        <v>182</v>
      </c>
    </row>
    <row r="23" spans="1:11" ht="29.1" customHeight="1">
      <c r="A23" s="36" t="s">
        <v>183</v>
      </c>
      <c r="B23" s="36" t="s">
        <v>184</v>
      </c>
      <c r="C23" s="36">
        <v>1</v>
      </c>
      <c r="D23" s="36" t="s">
        <v>115</v>
      </c>
      <c r="E23" s="36" t="s">
        <v>185</v>
      </c>
      <c r="F23" s="36" t="s">
        <v>9</v>
      </c>
    </row>
    <row r="24" spans="1:11" ht="29.1" customHeight="1">
      <c r="A24" s="47" t="s">
        <v>186</v>
      </c>
      <c r="B24" s="47" t="s">
        <v>187</v>
      </c>
      <c r="C24" s="47">
        <v>4</v>
      </c>
      <c r="D24" s="47" t="s">
        <v>115</v>
      </c>
      <c r="E24" s="47" t="s">
        <v>188</v>
      </c>
      <c r="F24" s="47" t="s">
        <v>189</v>
      </c>
    </row>
    <row r="25" spans="1:11" ht="29.1" customHeight="1">
      <c r="A25" s="48" t="s">
        <v>190</v>
      </c>
      <c r="B25" s="48" t="s">
        <v>191</v>
      </c>
      <c r="C25" s="48">
        <v>21</v>
      </c>
      <c r="D25" s="48" t="s">
        <v>115</v>
      </c>
      <c r="E25" s="48" t="s">
        <v>192</v>
      </c>
      <c r="F25" s="48" t="s">
        <v>193</v>
      </c>
    </row>
    <row r="26" spans="1:11" ht="29.1" customHeight="1">
      <c r="A26" s="47" t="s">
        <v>194</v>
      </c>
      <c r="B26" s="47" t="s">
        <v>195</v>
      </c>
      <c r="C26" s="47" t="s">
        <v>196</v>
      </c>
      <c r="D26" s="47" t="s">
        <v>160</v>
      </c>
      <c r="E26" s="47" t="s">
        <v>197</v>
      </c>
      <c r="F26" s="47" t="s">
        <v>198</v>
      </c>
    </row>
    <row r="27" spans="1:11" ht="22.5" customHeight="1">
      <c r="A27" s="52" t="s">
        <v>199</v>
      </c>
      <c r="B27" s="52" t="s">
        <v>200</v>
      </c>
      <c r="C27" s="52" t="s">
        <v>201</v>
      </c>
      <c r="D27" s="52" t="s">
        <v>115</v>
      </c>
      <c r="E27" s="52" t="s">
        <v>202</v>
      </c>
      <c r="F27" s="52" t="s">
        <v>203</v>
      </c>
    </row>
    <row r="28" spans="1:11" ht="22.5" customHeight="1">
      <c r="A28" s="53" t="s">
        <v>204</v>
      </c>
      <c r="B28" s="35" t="s">
        <v>205</v>
      </c>
      <c r="C28" s="35" t="s">
        <v>206</v>
      </c>
      <c r="D28" s="35" t="s">
        <v>115</v>
      </c>
      <c r="E28" s="35" t="s">
        <v>207</v>
      </c>
      <c r="F28" s="35" t="s">
        <v>208</v>
      </c>
      <c r="K28" s="54"/>
    </row>
    <row r="29" spans="1:11" ht="22.5" customHeight="1">
      <c r="A29" s="55"/>
      <c r="B29" s="56"/>
      <c r="C29" s="56"/>
      <c r="D29" s="56"/>
      <c r="E29" s="56"/>
      <c r="F29" s="56"/>
      <c r="K29" s="54"/>
    </row>
    <row r="30" spans="1:11" ht="24" customHeight="1">
      <c r="A30" s="74" t="s">
        <v>1656</v>
      </c>
      <c r="B30" s="74"/>
      <c r="C30" s="74"/>
      <c r="D30" s="74"/>
      <c r="E30" s="74"/>
      <c r="F30" s="74"/>
    </row>
    <row r="31" spans="1:11" ht="21.95" customHeight="1">
      <c r="A31" s="39" t="s">
        <v>40</v>
      </c>
      <c r="B31" s="39" t="s">
        <v>110</v>
      </c>
      <c r="C31" s="39" t="s">
        <v>111</v>
      </c>
      <c r="D31" s="39" t="s">
        <v>112</v>
      </c>
      <c r="E31" s="39" t="s">
        <v>5</v>
      </c>
      <c r="F31" s="39" t="s">
        <v>113</v>
      </c>
    </row>
    <row r="32" spans="1:11" ht="29.1" customHeight="1">
      <c r="A32" s="47" t="s">
        <v>81</v>
      </c>
      <c r="B32" s="47" t="s">
        <v>209</v>
      </c>
      <c r="C32" s="47" t="s">
        <v>210</v>
      </c>
      <c r="D32" s="47" t="s">
        <v>211</v>
      </c>
      <c r="E32" s="47" t="s">
        <v>212</v>
      </c>
      <c r="F32" s="47" t="s">
        <v>213</v>
      </c>
    </row>
    <row r="33" spans="1:6" ht="29.1" customHeight="1">
      <c r="A33" s="48" t="s">
        <v>85</v>
      </c>
      <c r="B33" s="48" t="s">
        <v>214</v>
      </c>
      <c r="C33" s="48" t="s">
        <v>210</v>
      </c>
      <c r="D33" s="48" t="s">
        <v>211</v>
      </c>
      <c r="E33" s="48" t="s">
        <v>215</v>
      </c>
      <c r="F33" s="48" t="s">
        <v>213</v>
      </c>
    </row>
    <row r="34" spans="1:6" ht="29.1" customHeight="1">
      <c r="A34" s="47" t="s">
        <v>121</v>
      </c>
      <c r="B34" s="47" t="s">
        <v>216</v>
      </c>
      <c r="C34" s="47" t="s">
        <v>210</v>
      </c>
      <c r="D34" s="47" t="s">
        <v>211</v>
      </c>
      <c r="E34" s="47" t="s">
        <v>217</v>
      </c>
      <c r="F34" s="47" t="s">
        <v>213</v>
      </c>
    </row>
    <row r="35" spans="1:6" ht="29.1" customHeight="1">
      <c r="A35" s="48" t="s">
        <v>124</v>
      </c>
      <c r="B35" s="48" t="s">
        <v>218</v>
      </c>
      <c r="C35" s="48" t="s">
        <v>210</v>
      </c>
      <c r="D35" s="48" t="s">
        <v>211</v>
      </c>
      <c r="E35" s="48" t="s">
        <v>219</v>
      </c>
      <c r="F35" s="48" t="s">
        <v>213</v>
      </c>
    </row>
    <row r="36" spans="1:6" ht="29.1" customHeight="1">
      <c r="A36" s="47" t="s">
        <v>128</v>
      </c>
      <c r="B36" s="47" t="s">
        <v>220</v>
      </c>
      <c r="C36" s="47" t="s">
        <v>210</v>
      </c>
      <c r="D36" s="47" t="s">
        <v>211</v>
      </c>
      <c r="E36" s="47" t="s">
        <v>221</v>
      </c>
      <c r="F36" s="47" t="s">
        <v>213</v>
      </c>
    </row>
    <row r="37" spans="1:6" ht="29.1" customHeight="1">
      <c r="A37" s="48" t="s">
        <v>222</v>
      </c>
      <c r="B37" s="48" t="s">
        <v>223</v>
      </c>
      <c r="C37" s="48" t="s">
        <v>210</v>
      </c>
      <c r="D37" s="48" t="s">
        <v>211</v>
      </c>
      <c r="E37" s="48" t="s">
        <v>224</v>
      </c>
      <c r="F37" s="48" t="s">
        <v>213</v>
      </c>
    </row>
    <row r="38" spans="1:6" ht="29.1" customHeight="1">
      <c r="A38" s="35" t="s">
        <v>132</v>
      </c>
      <c r="B38" s="35" t="s">
        <v>225</v>
      </c>
      <c r="C38" s="35" t="s">
        <v>226</v>
      </c>
      <c r="D38" s="35" t="s">
        <v>211</v>
      </c>
      <c r="E38" s="35" t="s">
        <v>227</v>
      </c>
      <c r="F38" s="35" t="s">
        <v>228</v>
      </c>
    </row>
    <row r="39" spans="1:6" ht="29.1" customHeight="1">
      <c r="A39" s="36" t="s">
        <v>137</v>
      </c>
      <c r="B39" s="36" t="s">
        <v>229</v>
      </c>
      <c r="C39" s="36" t="s">
        <v>230</v>
      </c>
      <c r="D39" s="36" t="s">
        <v>211</v>
      </c>
      <c r="E39" s="36" t="s">
        <v>231</v>
      </c>
      <c r="F39" s="36" t="s">
        <v>232</v>
      </c>
    </row>
    <row r="40" spans="1:6" ht="29.1" customHeight="1">
      <c r="A40" s="35" t="s">
        <v>141</v>
      </c>
      <c r="B40" s="35" t="s">
        <v>233</v>
      </c>
      <c r="C40" s="35" t="s">
        <v>230</v>
      </c>
      <c r="D40" s="35" t="s">
        <v>211</v>
      </c>
      <c r="E40" s="35" t="s">
        <v>234</v>
      </c>
      <c r="F40" s="35" t="s">
        <v>235</v>
      </c>
    </row>
    <row r="41" spans="1:6" ht="29.1" customHeight="1">
      <c r="A41" s="48" t="s">
        <v>145</v>
      </c>
      <c r="B41" s="48" t="s">
        <v>236</v>
      </c>
      <c r="C41" s="48" t="str">
        <f>'设备事件-输入'!C30</f>
        <v>变长</v>
      </c>
      <c r="D41" s="48" t="s">
        <v>211</v>
      </c>
      <c r="E41" s="48" t="s">
        <v>237</v>
      </c>
      <c r="F41" s="48" t="s">
        <v>238</v>
      </c>
    </row>
    <row r="42" spans="1:6" ht="29.1" customHeight="1">
      <c r="A42" s="47" t="s">
        <v>149</v>
      </c>
      <c r="B42" s="47" t="s">
        <v>239</v>
      </c>
      <c r="C42" s="47" t="str">
        <f>'设备事件-输入'!C38</f>
        <v>变长</v>
      </c>
      <c r="D42" s="47" t="s">
        <v>211</v>
      </c>
      <c r="E42" s="47" t="s">
        <v>240</v>
      </c>
      <c r="F42" s="47" t="s">
        <v>241</v>
      </c>
    </row>
    <row r="43" spans="1:6" ht="29.1" customHeight="1">
      <c r="A43" s="48" t="s">
        <v>154</v>
      </c>
      <c r="B43" s="48" t="s">
        <v>242</v>
      </c>
      <c r="C43" s="48" t="str">
        <f>'设备事件-输入'!C46</f>
        <v>变长</v>
      </c>
      <c r="D43" s="48" t="s">
        <v>211</v>
      </c>
      <c r="E43" s="48" t="s">
        <v>243</v>
      </c>
      <c r="F43" s="48" t="s">
        <v>244</v>
      </c>
    </row>
    <row r="44" spans="1:6" ht="29.1" customHeight="1">
      <c r="A44" s="47" t="s">
        <v>158</v>
      </c>
      <c r="B44" s="47" t="s">
        <v>245</v>
      </c>
      <c r="C44" s="47">
        <f>'设备事件-输入'!C53</f>
        <v>4</v>
      </c>
      <c r="D44" s="47" t="s">
        <v>211</v>
      </c>
      <c r="E44" s="47" t="s">
        <v>246</v>
      </c>
      <c r="F44" s="47" t="s">
        <v>247</v>
      </c>
    </row>
    <row r="45" spans="1:6" ht="29.1" customHeight="1">
      <c r="A45" s="48" t="s">
        <v>163</v>
      </c>
      <c r="B45" s="48" t="s">
        <v>248</v>
      </c>
      <c r="C45" s="48">
        <f>'设备事件-输入'!C60</f>
        <v>4</v>
      </c>
      <c r="D45" s="48" t="s">
        <v>211</v>
      </c>
      <c r="E45" s="48" t="s">
        <v>249</v>
      </c>
      <c r="F45" s="48" t="s">
        <v>250</v>
      </c>
    </row>
    <row r="46" spans="1:6" ht="29.1" customHeight="1">
      <c r="A46" s="47" t="s">
        <v>167</v>
      </c>
      <c r="B46" s="47" t="s">
        <v>251</v>
      </c>
      <c r="C46" s="47">
        <f>'设备事件-动作与应答'!C30</f>
        <v>1</v>
      </c>
      <c r="D46" s="47" t="s">
        <v>211</v>
      </c>
      <c r="E46" s="47" t="s">
        <v>252</v>
      </c>
      <c r="F46" s="47" t="s">
        <v>253</v>
      </c>
    </row>
    <row r="47" spans="1:6" ht="29.1" customHeight="1">
      <c r="A47" s="48" t="s">
        <v>171</v>
      </c>
      <c r="B47" s="48" t="s">
        <v>254</v>
      </c>
      <c r="C47" s="48">
        <f>'设备事件-动作与应答'!C38</f>
        <v>2</v>
      </c>
      <c r="D47" s="48" t="s">
        <v>211</v>
      </c>
      <c r="E47" s="48" t="s">
        <v>255</v>
      </c>
      <c r="F47" s="48" t="s">
        <v>256</v>
      </c>
    </row>
    <row r="48" spans="1:6" ht="29.1" customHeight="1">
      <c r="A48" s="47" t="s">
        <v>175</v>
      </c>
      <c r="B48" s="47" t="s">
        <v>257</v>
      </c>
      <c r="C48" s="47" t="str">
        <f>'设备事件-动作与应答'!C54</f>
        <v>变长</v>
      </c>
      <c r="D48" s="47" t="s">
        <v>211</v>
      </c>
      <c r="E48" s="47" t="s">
        <v>258</v>
      </c>
      <c r="F48" s="47" t="s">
        <v>259</v>
      </c>
    </row>
    <row r="49" spans="1:6" ht="29.1" customHeight="1">
      <c r="A49" s="48" t="s">
        <v>186</v>
      </c>
      <c r="B49" s="48" t="s">
        <v>260</v>
      </c>
      <c r="C49" s="48">
        <f>'设备事件-输入'!C68</f>
        <v>5</v>
      </c>
      <c r="D49" s="48" t="s">
        <v>211</v>
      </c>
      <c r="E49" s="48" t="s">
        <v>261</v>
      </c>
      <c r="F49" s="48" t="s">
        <v>262</v>
      </c>
    </row>
    <row r="50" spans="1:6" ht="29.1" customHeight="1">
      <c r="A50" s="47" t="s">
        <v>263</v>
      </c>
      <c r="B50" s="47" t="s">
        <v>264</v>
      </c>
      <c r="C50" s="47" t="str">
        <f>'设备事件-动作与应答'!C62</f>
        <v>变长</v>
      </c>
      <c r="D50" s="47" t="s">
        <v>211</v>
      </c>
      <c r="E50" s="47" t="s">
        <v>265</v>
      </c>
      <c r="F50" s="47" t="s">
        <v>266</v>
      </c>
    </row>
    <row r="51" spans="1:6" ht="29.1" customHeight="1">
      <c r="A51" s="48" t="s">
        <v>190</v>
      </c>
      <c r="B51" s="48" t="s">
        <v>267</v>
      </c>
      <c r="C51" s="48">
        <f>'设备事件-动作与应答'!C75</f>
        <v>31</v>
      </c>
      <c r="D51" s="48" t="s">
        <v>211</v>
      </c>
      <c r="E51" s="48" t="s">
        <v>268</v>
      </c>
      <c r="F51" s="48" t="s">
        <v>269</v>
      </c>
    </row>
    <row r="52" spans="1:6" ht="29.1" customHeight="1">
      <c r="A52" s="47" t="s">
        <v>270</v>
      </c>
      <c r="B52" s="47" t="s">
        <v>271</v>
      </c>
      <c r="C52" s="47">
        <f>'设备事件-输入'!C82</f>
        <v>29</v>
      </c>
      <c r="D52" s="47" t="s">
        <v>211</v>
      </c>
      <c r="E52" s="47" t="s">
        <v>272</v>
      </c>
      <c r="F52" s="47" t="s">
        <v>273</v>
      </c>
    </row>
    <row r="53" spans="1:6" ht="29.1" customHeight="1">
      <c r="A53" s="48" t="s">
        <v>274</v>
      </c>
      <c r="B53" s="48" t="s">
        <v>275</v>
      </c>
      <c r="C53" s="48" t="s">
        <v>210</v>
      </c>
      <c r="D53" s="48" t="s">
        <v>211</v>
      </c>
      <c r="E53" s="48" t="s">
        <v>276</v>
      </c>
      <c r="F53" s="48" t="s">
        <v>277</v>
      </c>
    </row>
    <row r="54" spans="1:6" ht="29.1" customHeight="1">
      <c r="A54" s="47" t="s">
        <v>278</v>
      </c>
      <c r="B54" s="47" t="s">
        <v>279</v>
      </c>
      <c r="C54" s="47">
        <f>'设备事件-输入'!C96</f>
        <v>1</v>
      </c>
      <c r="D54" s="47" t="s">
        <v>211</v>
      </c>
      <c r="E54" s="47" t="s">
        <v>280</v>
      </c>
      <c r="F54" s="47" t="s">
        <v>281</v>
      </c>
    </row>
    <row r="55" spans="1:6" ht="22.5" customHeight="1">
      <c r="A55" s="57" t="s">
        <v>204</v>
      </c>
      <c r="B55" s="58" t="s">
        <v>205</v>
      </c>
      <c r="C55" s="58" t="s">
        <v>282</v>
      </c>
      <c r="D55" s="58" t="s">
        <v>211</v>
      </c>
      <c r="E55" s="58" t="s">
        <v>283</v>
      </c>
      <c r="F55" s="58" t="s">
        <v>208</v>
      </c>
    </row>
    <row r="57" spans="1:6" ht="36" customHeight="1">
      <c r="A57" s="68" t="s">
        <v>1657</v>
      </c>
      <c r="B57" s="68"/>
      <c r="C57" s="68"/>
      <c r="D57" s="68"/>
      <c r="E57" s="68"/>
      <c r="F57" s="68"/>
    </row>
  </sheetData>
  <mergeCells count="5">
    <mergeCell ref="A1:F1"/>
    <mergeCell ref="A4:F4"/>
    <mergeCell ref="A30:F30"/>
    <mergeCell ref="A57:F57"/>
    <mergeCell ref="A2:F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3"/>
  <sheetViews>
    <sheetView topLeftCell="A37" workbookViewId="0">
      <selection activeCell="I30" sqref="A1:XFD1048576"/>
    </sheetView>
  </sheetViews>
  <sheetFormatPr defaultRowHeight="14.25"/>
  <cols>
    <col min="1" max="1" width="10" style="33" customWidth="1"/>
    <col min="2" max="2" width="26" style="33" customWidth="1"/>
    <col min="3" max="3" width="23" style="33" customWidth="1"/>
    <col min="4" max="4" width="13" style="33" customWidth="1"/>
    <col min="5" max="5" width="34" style="33" customWidth="1"/>
    <col min="6" max="6" width="72" style="33" customWidth="1"/>
    <col min="7" max="16384" width="9" style="33"/>
  </cols>
  <sheetData>
    <row r="1" spans="1:6" ht="33.950000000000003" customHeight="1">
      <c r="A1" s="71" t="s">
        <v>284</v>
      </c>
      <c r="B1" s="71"/>
      <c r="C1" s="71"/>
      <c r="D1" s="71"/>
      <c r="E1" s="71"/>
      <c r="F1" s="71"/>
    </row>
    <row r="2" spans="1:6" ht="21.95" customHeight="1">
      <c r="A2" s="87" t="s">
        <v>285</v>
      </c>
      <c r="B2" s="87"/>
      <c r="C2" s="87"/>
      <c r="D2" s="87"/>
      <c r="E2" s="87"/>
      <c r="F2" s="87"/>
    </row>
    <row r="4" spans="1:6" ht="24" customHeight="1">
      <c r="A4" s="85" t="s">
        <v>286</v>
      </c>
      <c r="B4" s="85"/>
      <c r="C4" s="85"/>
      <c r="D4" s="85"/>
      <c r="E4" s="85"/>
      <c r="F4" s="85"/>
    </row>
    <row r="5" spans="1:6" ht="36" customHeight="1">
      <c r="A5" s="76" t="s">
        <v>287</v>
      </c>
      <c r="B5" s="76"/>
      <c r="C5" s="76"/>
      <c r="D5" s="76"/>
      <c r="E5" s="76"/>
      <c r="F5" s="76"/>
    </row>
    <row r="6" spans="1:6" ht="21.95" customHeight="1">
      <c r="A6" s="39" t="s">
        <v>288</v>
      </c>
      <c r="B6" s="39" t="s">
        <v>55</v>
      </c>
      <c r="C6" s="39" t="s">
        <v>289</v>
      </c>
      <c r="D6" s="39" t="s">
        <v>290</v>
      </c>
      <c r="E6" s="39" t="s">
        <v>291</v>
      </c>
      <c r="F6" s="39" t="s">
        <v>5</v>
      </c>
    </row>
    <row r="7" spans="1:6" ht="29.1" customHeight="1">
      <c r="A7" s="47">
        <v>0</v>
      </c>
      <c r="B7" s="47" t="s">
        <v>292</v>
      </c>
      <c r="C7" s="47" t="s">
        <v>30</v>
      </c>
      <c r="D7" s="47">
        <v>20</v>
      </c>
      <c r="E7" s="47" t="s">
        <v>293</v>
      </c>
      <c r="F7" s="47" t="s">
        <v>294</v>
      </c>
    </row>
    <row r="8" spans="1:6" ht="29.1" customHeight="1">
      <c r="A8" s="48" t="s">
        <v>295</v>
      </c>
      <c r="B8" s="48" t="s">
        <v>296</v>
      </c>
      <c r="C8" s="48">
        <v>1</v>
      </c>
      <c r="D8" s="48" t="s">
        <v>9</v>
      </c>
      <c r="E8" s="48" t="s">
        <v>297</v>
      </c>
      <c r="F8" s="48" t="s">
        <v>298</v>
      </c>
    </row>
    <row r="9" spans="1:6" ht="29.1" customHeight="1">
      <c r="A9" s="47" t="s">
        <v>299</v>
      </c>
      <c r="B9" s="47" t="s">
        <v>300</v>
      </c>
      <c r="C9" s="47" t="s">
        <v>30</v>
      </c>
      <c r="D9" s="47">
        <v>10</v>
      </c>
      <c r="E9" s="47" t="s">
        <v>301</v>
      </c>
      <c r="F9" s="47" t="s">
        <v>302</v>
      </c>
    </row>
    <row r="10" spans="1:6" ht="29.1" customHeight="1">
      <c r="A10" s="48" t="s">
        <v>303</v>
      </c>
      <c r="B10" s="48" t="s">
        <v>304</v>
      </c>
      <c r="C10" s="48">
        <v>1</v>
      </c>
      <c r="D10" s="48" t="s">
        <v>9</v>
      </c>
      <c r="E10" s="48" t="s">
        <v>305</v>
      </c>
      <c r="F10" s="48" t="s">
        <v>306</v>
      </c>
    </row>
    <row r="11" spans="1:6" ht="29.1" customHeight="1">
      <c r="A11" s="77" t="s">
        <v>307</v>
      </c>
      <c r="B11" s="77"/>
      <c r="C11" s="49" t="s">
        <v>308</v>
      </c>
      <c r="D11" s="78" t="s">
        <v>309</v>
      </c>
      <c r="E11" s="78"/>
      <c r="F11" s="78"/>
    </row>
    <row r="12" spans="1:6" ht="29.1" customHeight="1">
      <c r="A12" s="77" t="s">
        <v>310</v>
      </c>
      <c r="B12" s="77"/>
      <c r="C12" s="49" t="s">
        <v>311</v>
      </c>
      <c r="D12" s="78" t="s">
        <v>312</v>
      </c>
      <c r="E12" s="78"/>
      <c r="F12" s="78"/>
    </row>
    <row r="14" spans="1:6" ht="24" customHeight="1">
      <c r="A14" s="85" t="s">
        <v>313</v>
      </c>
      <c r="B14" s="85"/>
      <c r="C14" s="85"/>
      <c r="D14" s="85"/>
      <c r="E14" s="85"/>
      <c r="F14" s="85"/>
    </row>
    <row r="15" spans="1:6" ht="51" customHeight="1">
      <c r="A15" s="76" t="s">
        <v>1650</v>
      </c>
      <c r="B15" s="76"/>
      <c r="C15" s="76"/>
      <c r="D15" s="76"/>
      <c r="E15" s="76"/>
      <c r="F15" s="76"/>
    </row>
    <row r="16" spans="1:6" ht="21.95" customHeight="1">
      <c r="A16" s="39" t="s">
        <v>288</v>
      </c>
      <c r="B16" s="39" t="s">
        <v>55</v>
      </c>
      <c r="C16" s="39" t="s">
        <v>289</v>
      </c>
      <c r="D16" s="39" t="s">
        <v>290</v>
      </c>
      <c r="E16" s="39" t="s">
        <v>291</v>
      </c>
      <c r="F16" s="39" t="s">
        <v>5</v>
      </c>
    </row>
    <row r="17" spans="1:6" ht="29.1" customHeight="1">
      <c r="A17" s="47">
        <v>0</v>
      </c>
      <c r="B17" s="47" t="s">
        <v>314</v>
      </c>
      <c r="C17" s="47">
        <v>1</v>
      </c>
      <c r="D17" s="47" t="s">
        <v>9</v>
      </c>
      <c r="E17" s="47" t="s">
        <v>315</v>
      </c>
      <c r="F17" s="47" t="s">
        <v>316</v>
      </c>
    </row>
    <row r="18" spans="1:6" ht="29.1" customHeight="1">
      <c r="A18" s="48" t="s">
        <v>317</v>
      </c>
      <c r="B18" s="48" t="s">
        <v>318</v>
      </c>
      <c r="C18" s="48" t="s">
        <v>308</v>
      </c>
      <c r="D18" s="48" t="s">
        <v>9</v>
      </c>
      <c r="E18" s="48" t="s">
        <v>319</v>
      </c>
      <c r="F18" s="36" t="s">
        <v>1651</v>
      </c>
    </row>
    <row r="19" spans="1:6" ht="29.1" customHeight="1">
      <c r="A19" s="77" t="s">
        <v>307</v>
      </c>
      <c r="B19" s="77"/>
      <c r="C19" s="49" t="s">
        <v>308</v>
      </c>
      <c r="D19" s="86" t="s">
        <v>1652</v>
      </c>
      <c r="E19" s="78"/>
      <c r="F19" s="78"/>
    </row>
    <row r="20" spans="1:6" ht="29.1" customHeight="1">
      <c r="A20" s="77" t="s">
        <v>310</v>
      </c>
      <c r="B20" s="77"/>
      <c r="C20" s="49" t="s">
        <v>311</v>
      </c>
      <c r="D20" s="78" t="s">
        <v>312</v>
      </c>
      <c r="E20" s="78"/>
      <c r="F20" s="78"/>
    </row>
    <row r="22" spans="1:6" ht="30" customHeight="1">
      <c r="A22" s="83" t="s">
        <v>1022</v>
      </c>
      <c r="B22" s="83"/>
      <c r="C22" s="83"/>
      <c r="D22" s="83"/>
      <c r="E22" s="83"/>
      <c r="F22" s="83"/>
    </row>
    <row r="23" spans="1:6" ht="39.950000000000003" customHeight="1">
      <c r="A23" s="84" t="s">
        <v>1023</v>
      </c>
      <c r="B23" s="84"/>
      <c r="C23" s="84"/>
      <c r="D23" s="84"/>
      <c r="E23" s="84"/>
      <c r="F23" s="84"/>
    </row>
    <row r="24" spans="1:6" ht="21.95" customHeight="1">
      <c r="A24" s="39" t="s">
        <v>288</v>
      </c>
      <c r="B24" s="39" t="s">
        <v>55</v>
      </c>
      <c r="C24" s="39" t="s">
        <v>289</v>
      </c>
      <c r="D24" s="39" t="s">
        <v>290</v>
      </c>
      <c r="E24" s="39" t="s">
        <v>291</v>
      </c>
      <c r="F24" s="39" t="s">
        <v>5</v>
      </c>
    </row>
    <row r="25" spans="1:6" ht="45.95" customHeight="1">
      <c r="A25" s="35">
        <v>0</v>
      </c>
      <c r="B25" s="35" t="s">
        <v>453</v>
      </c>
      <c r="C25" s="35">
        <v>1</v>
      </c>
      <c r="D25" s="35">
        <v>1</v>
      </c>
      <c r="E25" s="35" t="s">
        <v>90</v>
      </c>
      <c r="F25" s="35" t="s">
        <v>1024</v>
      </c>
    </row>
    <row r="26" spans="1:6" ht="45.95" customHeight="1">
      <c r="A26" s="36">
        <v>1</v>
      </c>
      <c r="B26" s="36" t="s">
        <v>1025</v>
      </c>
      <c r="C26" s="36">
        <v>4</v>
      </c>
      <c r="D26" s="36" t="s">
        <v>1026</v>
      </c>
      <c r="E26" s="36" t="s">
        <v>1027</v>
      </c>
      <c r="F26" s="36" t="s">
        <v>1028</v>
      </c>
    </row>
    <row r="27" spans="1:6" ht="63.95" customHeight="1">
      <c r="A27" s="42" t="s">
        <v>1029</v>
      </c>
      <c r="B27" s="42" t="s">
        <v>420</v>
      </c>
      <c r="C27" s="40" t="s">
        <v>308</v>
      </c>
      <c r="D27" s="43" t="s">
        <v>1030</v>
      </c>
      <c r="E27" s="43" t="s">
        <v>1031</v>
      </c>
      <c r="F27" s="43" t="s">
        <v>1032</v>
      </c>
    </row>
    <row r="28" spans="1:6" ht="45.95" customHeight="1">
      <c r="A28" s="79" t="s">
        <v>307</v>
      </c>
      <c r="B28" s="79"/>
      <c r="C28" s="50" t="s">
        <v>308</v>
      </c>
      <c r="D28" s="80" t="s">
        <v>1033</v>
      </c>
      <c r="E28" s="80"/>
      <c r="F28" s="80"/>
    </row>
    <row r="29" spans="1:6" ht="51.95" customHeight="1">
      <c r="A29" s="81" t="s">
        <v>310</v>
      </c>
      <c r="B29" s="81"/>
      <c r="C29" s="44" t="s">
        <v>1034</v>
      </c>
      <c r="D29" s="82" t="s">
        <v>1035</v>
      </c>
      <c r="E29" s="82"/>
      <c r="F29" s="82"/>
    </row>
    <row r="30" spans="1:6" ht="24" customHeight="1">
      <c r="A30" s="51"/>
      <c r="B30" s="45"/>
      <c r="C30" s="46"/>
      <c r="D30" s="46"/>
      <c r="E30" s="46"/>
      <c r="F30" s="46"/>
    </row>
    <row r="31" spans="1:6" ht="24" customHeight="1">
      <c r="A31" s="75" t="s">
        <v>320</v>
      </c>
      <c r="B31" s="75"/>
      <c r="C31" s="75"/>
      <c r="D31" s="75"/>
      <c r="E31" s="75"/>
      <c r="F31" s="75"/>
    </row>
    <row r="32" spans="1:6" ht="36" customHeight="1">
      <c r="A32" s="76" t="s">
        <v>321</v>
      </c>
      <c r="B32" s="76"/>
      <c r="C32" s="76"/>
      <c r="D32" s="76"/>
      <c r="E32" s="76"/>
      <c r="F32" s="76"/>
    </row>
    <row r="33" spans="1:6" ht="21.95" customHeight="1">
      <c r="A33" s="39" t="s">
        <v>288</v>
      </c>
      <c r="B33" s="39" t="s">
        <v>55</v>
      </c>
      <c r="C33" s="39" t="s">
        <v>289</v>
      </c>
      <c r="D33" s="39" t="s">
        <v>290</v>
      </c>
      <c r="E33" s="39" t="s">
        <v>291</v>
      </c>
      <c r="F33" s="39" t="s">
        <v>5</v>
      </c>
    </row>
    <row r="34" spans="1:6" ht="29.1" customHeight="1">
      <c r="A34" s="47">
        <v>0</v>
      </c>
      <c r="B34" s="47" t="s">
        <v>322</v>
      </c>
      <c r="C34" s="47">
        <v>1</v>
      </c>
      <c r="D34" s="47" t="s">
        <v>9</v>
      </c>
      <c r="E34" s="47" t="s">
        <v>323</v>
      </c>
      <c r="F34" s="47" t="s">
        <v>324</v>
      </c>
    </row>
    <row r="35" spans="1:6" ht="29.1" customHeight="1">
      <c r="A35" s="48">
        <v>1</v>
      </c>
      <c r="B35" s="48" t="s">
        <v>325</v>
      </c>
      <c r="C35" s="48" t="s">
        <v>30</v>
      </c>
      <c r="D35" s="48">
        <v>15</v>
      </c>
      <c r="E35" s="48" t="s">
        <v>326</v>
      </c>
      <c r="F35" s="48" t="s">
        <v>327</v>
      </c>
    </row>
    <row r="36" spans="1:6" ht="29.1" customHeight="1">
      <c r="A36" s="47" t="s">
        <v>303</v>
      </c>
      <c r="B36" s="47" t="s">
        <v>328</v>
      </c>
      <c r="C36" s="47">
        <v>1</v>
      </c>
      <c r="D36" s="47" t="s">
        <v>9</v>
      </c>
      <c r="E36" s="47" t="s">
        <v>323</v>
      </c>
      <c r="F36" s="47" t="s">
        <v>329</v>
      </c>
    </row>
    <row r="37" spans="1:6" ht="29.1" customHeight="1">
      <c r="A37" s="48" t="s">
        <v>303</v>
      </c>
      <c r="B37" s="48" t="s">
        <v>330</v>
      </c>
      <c r="C37" s="48">
        <v>1</v>
      </c>
      <c r="D37" s="48" t="s">
        <v>9</v>
      </c>
      <c r="E37" s="48" t="s">
        <v>323</v>
      </c>
      <c r="F37" s="48" t="s">
        <v>331</v>
      </c>
    </row>
    <row r="38" spans="1:6" ht="29.1" customHeight="1">
      <c r="A38" s="77" t="s">
        <v>307</v>
      </c>
      <c r="B38" s="77"/>
      <c r="C38" s="49" t="s">
        <v>308</v>
      </c>
      <c r="D38" s="78" t="s">
        <v>332</v>
      </c>
      <c r="E38" s="78"/>
      <c r="F38" s="78"/>
    </row>
    <row r="39" spans="1:6" ht="29.1" customHeight="1">
      <c r="A39" s="77" t="s">
        <v>310</v>
      </c>
      <c r="B39" s="77"/>
      <c r="C39" s="49" t="s">
        <v>311</v>
      </c>
      <c r="D39" s="78" t="s">
        <v>312</v>
      </c>
      <c r="E39" s="78"/>
      <c r="F39" s="78"/>
    </row>
    <row r="41" spans="1:6" ht="24" customHeight="1">
      <c r="A41" s="85" t="s">
        <v>333</v>
      </c>
      <c r="B41" s="85"/>
      <c r="C41" s="85"/>
      <c r="D41" s="85"/>
      <c r="E41" s="85"/>
      <c r="F41" s="85"/>
    </row>
    <row r="42" spans="1:6" ht="36" customHeight="1">
      <c r="A42" s="76" t="s">
        <v>334</v>
      </c>
      <c r="B42" s="76"/>
      <c r="C42" s="76"/>
      <c r="D42" s="76"/>
      <c r="E42" s="76"/>
      <c r="F42" s="76"/>
    </row>
    <row r="43" spans="1:6" ht="21.95" customHeight="1">
      <c r="A43" s="39" t="s">
        <v>288</v>
      </c>
      <c r="B43" s="39" t="s">
        <v>55</v>
      </c>
      <c r="C43" s="39" t="s">
        <v>289</v>
      </c>
      <c r="D43" s="39" t="s">
        <v>290</v>
      </c>
      <c r="E43" s="39" t="s">
        <v>291</v>
      </c>
      <c r="F43" s="39" t="s">
        <v>5</v>
      </c>
    </row>
    <row r="44" spans="1:6" ht="29.1" customHeight="1">
      <c r="A44" s="47">
        <v>0</v>
      </c>
      <c r="B44" s="47" t="s">
        <v>335</v>
      </c>
      <c r="C44" s="47">
        <v>1</v>
      </c>
      <c r="D44" s="47" t="s">
        <v>9</v>
      </c>
      <c r="E44" s="47" t="s">
        <v>336</v>
      </c>
      <c r="F44" s="47" t="s">
        <v>337</v>
      </c>
    </row>
    <row r="45" spans="1:6" ht="29.1" customHeight="1">
      <c r="A45" s="48">
        <v>1</v>
      </c>
      <c r="B45" s="48" t="s">
        <v>338</v>
      </c>
      <c r="C45" s="48">
        <v>1</v>
      </c>
      <c r="D45" s="48" t="s">
        <v>9</v>
      </c>
      <c r="E45" s="48" t="s">
        <v>339</v>
      </c>
      <c r="F45" s="48" t="s">
        <v>340</v>
      </c>
    </row>
    <row r="46" spans="1:6" ht="29.1" customHeight="1">
      <c r="A46" s="47">
        <v>2</v>
      </c>
      <c r="B46" s="47" t="s">
        <v>341</v>
      </c>
      <c r="C46" s="47">
        <v>1</v>
      </c>
      <c r="D46" s="47" t="s">
        <v>9</v>
      </c>
      <c r="E46" s="47" t="s">
        <v>342</v>
      </c>
      <c r="F46" s="47" t="s">
        <v>343</v>
      </c>
    </row>
    <row r="47" spans="1:6" ht="29.1" customHeight="1">
      <c r="A47" s="48">
        <v>3</v>
      </c>
      <c r="B47" s="48" t="s">
        <v>344</v>
      </c>
      <c r="C47" s="48">
        <v>1</v>
      </c>
      <c r="D47" s="48" t="s">
        <v>9</v>
      </c>
      <c r="E47" s="48" t="s">
        <v>345</v>
      </c>
      <c r="F47" s="48" t="s">
        <v>346</v>
      </c>
    </row>
    <row r="48" spans="1:6" ht="29.1" customHeight="1">
      <c r="A48" s="47">
        <v>4</v>
      </c>
      <c r="B48" s="47" t="s">
        <v>347</v>
      </c>
      <c r="C48" s="47">
        <v>1</v>
      </c>
      <c r="D48" s="47" t="s">
        <v>9</v>
      </c>
      <c r="E48" s="47" t="s">
        <v>348</v>
      </c>
      <c r="F48" s="47" t="s">
        <v>349</v>
      </c>
    </row>
    <row r="49" spans="1:6" ht="29.1" customHeight="1">
      <c r="A49" s="48">
        <v>5</v>
      </c>
      <c r="B49" s="48" t="s">
        <v>350</v>
      </c>
      <c r="C49" s="48">
        <v>1</v>
      </c>
      <c r="D49" s="48" t="s">
        <v>9</v>
      </c>
      <c r="E49" s="48" t="s">
        <v>348</v>
      </c>
      <c r="F49" s="48" t="s">
        <v>351</v>
      </c>
    </row>
    <row r="50" spans="1:6" ht="29.1" customHeight="1">
      <c r="A50" s="77" t="s">
        <v>307</v>
      </c>
      <c r="B50" s="77"/>
      <c r="C50" s="49">
        <f>SUM(C44:C49)</f>
        <v>6</v>
      </c>
      <c r="D50" s="78" t="s">
        <v>352</v>
      </c>
      <c r="E50" s="78"/>
      <c r="F50" s="78"/>
    </row>
    <row r="51" spans="1:6" ht="29.1" customHeight="1">
      <c r="A51" s="77" t="s">
        <v>310</v>
      </c>
      <c r="B51" s="77"/>
      <c r="C51" s="49">
        <f>3+C50</f>
        <v>9</v>
      </c>
      <c r="D51" s="78" t="s">
        <v>312</v>
      </c>
      <c r="E51" s="78"/>
      <c r="F51" s="78"/>
    </row>
    <row r="53" spans="1:6" ht="24" customHeight="1">
      <c r="A53" s="85" t="s">
        <v>353</v>
      </c>
      <c r="B53" s="85"/>
      <c r="C53" s="85"/>
      <c r="D53" s="85"/>
      <c r="E53" s="85"/>
      <c r="F53" s="85"/>
    </row>
    <row r="54" spans="1:6" ht="36" customHeight="1">
      <c r="A54" s="76" t="s">
        <v>354</v>
      </c>
      <c r="B54" s="76"/>
      <c r="C54" s="76"/>
      <c r="D54" s="76"/>
      <c r="E54" s="76"/>
      <c r="F54" s="76"/>
    </row>
    <row r="55" spans="1:6" ht="21.95" customHeight="1">
      <c r="A55" s="39" t="s">
        <v>288</v>
      </c>
      <c r="B55" s="39" t="s">
        <v>55</v>
      </c>
      <c r="C55" s="39" t="s">
        <v>289</v>
      </c>
      <c r="D55" s="39" t="s">
        <v>290</v>
      </c>
      <c r="E55" s="39" t="s">
        <v>291</v>
      </c>
      <c r="F55" s="39" t="s">
        <v>5</v>
      </c>
    </row>
    <row r="56" spans="1:6" ht="29.1" customHeight="1">
      <c r="A56" s="47">
        <v>0</v>
      </c>
      <c r="B56" s="47" t="s">
        <v>355</v>
      </c>
      <c r="C56" s="47">
        <v>1</v>
      </c>
      <c r="D56" s="47" t="s">
        <v>9</v>
      </c>
      <c r="E56" s="47" t="s">
        <v>305</v>
      </c>
      <c r="F56" s="35" t="s">
        <v>356</v>
      </c>
    </row>
    <row r="57" spans="1:6" ht="29.1" customHeight="1">
      <c r="A57" s="77" t="s">
        <v>307</v>
      </c>
      <c r="B57" s="77"/>
      <c r="C57" s="49">
        <f>SUM(C56:C56)</f>
        <v>1</v>
      </c>
      <c r="D57" s="78" t="s">
        <v>352</v>
      </c>
      <c r="E57" s="78"/>
      <c r="F57" s="78"/>
    </row>
    <row r="58" spans="1:6" ht="29.1" customHeight="1">
      <c r="A58" s="77" t="s">
        <v>310</v>
      </c>
      <c r="B58" s="77"/>
      <c r="C58" s="49">
        <f>3+C57</f>
        <v>4</v>
      </c>
      <c r="D58" s="78" t="s">
        <v>312</v>
      </c>
      <c r="E58" s="78"/>
      <c r="F58" s="78"/>
    </row>
    <row r="60" spans="1:6" ht="24" customHeight="1">
      <c r="A60" s="85" t="s">
        <v>357</v>
      </c>
      <c r="B60" s="85"/>
      <c r="C60" s="85"/>
      <c r="D60" s="85"/>
      <c r="E60" s="85"/>
      <c r="F60" s="85"/>
    </row>
    <row r="61" spans="1:6" ht="36" customHeight="1">
      <c r="A61" s="76" t="s">
        <v>358</v>
      </c>
      <c r="B61" s="76"/>
      <c r="C61" s="76"/>
      <c r="D61" s="76"/>
      <c r="E61" s="76"/>
      <c r="F61" s="76"/>
    </row>
    <row r="62" spans="1:6" ht="21.95" customHeight="1">
      <c r="A62" s="39" t="s">
        <v>288</v>
      </c>
      <c r="B62" s="39" t="s">
        <v>55</v>
      </c>
      <c r="C62" s="39" t="s">
        <v>289</v>
      </c>
      <c r="D62" s="39" t="s">
        <v>290</v>
      </c>
      <c r="E62" s="39" t="s">
        <v>291</v>
      </c>
      <c r="F62" s="39" t="s">
        <v>5</v>
      </c>
    </row>
    <row r="63" spans="1:6" ht="29.1" customHeight="1">
      <c r="A63" s="47">
        <v>0</v>
      </c>
      <c r="B63" s="47" t="s">
        <v>359</v>
      </c>
      <c r="C63" s="47" t="s">
        <v>30</v>
      </c>
      <c r="D63" s="47">
        <v>60</v>
      </c>
      <c r="E63" s="47" t="s">
        <v>293</v>
      </c>
      <c r="F63" s="47" t="s">
        <v>360</v>
      </c>
    </row>
    <row r="64" spans="1:6" ht="29.1" customHeight="1">
      <c r="A64" s="48" t="s">
        <v>295</v>
      </c>
      <c r="B64" s="48" t="s">
        <v>361</v>
      </c>
      <c r="C64" s="48">
        <v>1</v>
      </c>
      <c r="D64" s="48" t="s">
        <v>9</v>
      </c>
      <c r="E64" s="48" t="s">
        <v>305</v>
      </c>
      <c r="F64" s="48" t="s">
        <v>362</v>
      </c>
    </row>
    <row r="65" spans="1:6" ht="29.1" customHeight="1">
      <c r="A65" s="47" t="s">
        <v>299</v>
      </c>
      <c r="B65" s="47" t="s">
        <v>363</v>
      </c>
      <c r="C65" s="47">
        <v>1</v>
      </c>
      <c r="D65" s="47" t="s">
        <v>9</v>
      </c>
      <c r="E65" s="47" t="s">
        <v>297</v>
      </c>
      <c r="F65" s="47" t="s">
        <v>364</v>
      </c>
    </row>
    <row r="66" spans="1:6" ht="29.1" customHeight="1">
      <c r="A66" s="77" t="s">
        <v>307</v>
      </c>
      <c r="B66" s="77"/>
      <c r="C66" s="49" t="s">
        <v>308</v>
      </c>
      <c r="D66" s="78" t="s">
        <v>365</v>
      </c>
      <c r="E66" s="78"/>
      <c r="F66" s="78"/>
    </row>
    <row r="67" spans="1:6" ht="29.1" customHeight="1">
      <c r="A67" s="77" t="s">
        <v>310</v>
      </c>
      <c r="B67" s="77"/>
      <c r="C67" s="49" t="s">
        <v>311</v>
      </c>
      <c r="D67" s="78" t="s">
        <v>312</v>
      </c>
      <c r="E67" s="78"/>
      <c r="F67" s="78"/>
    </row>
    <row r="69" spans="1:6" ht="24" customHeight="1">
      <c r="A69" s="85" t="s">
        <v>366</v>
      </c>
      <c r="B69" s="85"/>
      <c r="C69" s="85"/>
      <c r="D69" s="85"/>
      <c r="E69" s="85"/>
      <c r="F69" s="85"/>
    </row>
    <row r="70" spans="1:6" ht="36" customHeight="1">
      <c r="A70" s="76" t="s">
        <v>367</v>
      </c>
      <c r="B70" s="76"/>
      <c r="C70" s="76"/>
      <c r="D70" s="76"/>
      <c r="E70" s="76"/>
      <c r="F70" s="76"/>
    </row>
    <row r="71" spans="1:6" ht="21.95" customHeight="1">
      <c r="A71" s="39" t="s">
        <v>288</v>
      </c>
      <c r="B71" s="39" t="s">
        <v>55</v>
      </c>
      <c r="C71" s="39" t="s">
        <v>289</v>
      </c>
      <c r="D71" s="39" t="s">
        <v>290</v>
      </c>
      <c r="E71" s="39" t="s">
        <v>291</v>
      </c>
      <c r="F71" s="39" t="s">
        <v>5</v>
      </c>
    </row>
    <row r="72" spans="1:6" ht="29.1" customHeight="1">
      <c r="A72" s="47">
        <v>0</v>
      </c>
      <c r="B72" s="47" t="s">
        <v>368</v>
      </c>
      <c r="C72" s="47">
        <v>4</v>
      </c>
      <c r="D72" s="47" t="s">
        <v>9</v>
      </c>
      <c r="E72" s="47" t="s">
        <v>369</v>
      </c>
      <c r="F72" s="47" t="s">
        <v>370</v>
      </c>
    </row>
    <row r="73" spans="1:6" ht="29.1" customHeight="1">
      <c r="A73" s="77" t="s">
        <v>307</v>
      </c>
      <c r="B73" s="77"/>
      <c r="C73" s="49">
        <f>SUM(C72:C72)</f>
        <v>4</v>
      </c>
      <c r="D73" s="78" t="s">
        <v>352</v>
      </c>
      <c r="E73" s="78"/>
      <c r="F73" s="78"/>
    </row>
    <row r="74" spans="1:6" ht="29.1" customHeight="1">
      <c r="A74" s="77" t="s">
        <v>310</v>
      </c>
      <c r="B74" s="77"/>
      <c r="C74" s="49">
        <f>3+C73</f>
        <v>7</v>
      </c>
      <c r="D74" s="78" t="s">
        <v>312</v>
      </c>
      <c r="E74" s="78"/>
      <c r="F74" s="78"/>
    </row>
    <row r="76" spans="1:6" ht="24" customHeight="1">
      <c r="A76" s="85" t="s">
        <v>371</v>
      </c>
      <c r="B76" s="85"/>
      <c r="C76" s="85"/>
      <c r="D76" s="85"/>
      <c r="E76" s="85"/>
      <c r="F76" s="85"/>
    </row>
    <row r="77" spans="1:6" ht="36" customHeight="1">
      <c r="A77" s="76" t="s">
        <v>372</v>
      </c>
      <c r="B77" s="76"/>
      <c r="C77" s="76"/>
      <c r="D77" s="76"/>
      <c r="E77" s="76"/>
      <c r="F77" s="76"/>
    </row>
    <row r="78" spans="1:6" ht="21.95" customHeight="1">
      <c r="A78" s="39" t="s">
        <v>288</v>
      </c>
      <c r="B78" s="39" t="s">
        <v>55</v>
      </c>
      <c r="C78" s="39" t="s">
        <v>289</v>
      </c>
      <c r="D78" s="39" t="s">
        <v>290</v>
      </c>
      <c r="E78" s="39" t="s">
        <v>291</v>
      </c>
      <c r="F78" s="39" t="s">
        <v>5</v>
      </c>
    </row>
    <row r="79" spans="1:6" ht="29.1" customHeight="1">
      <c r="A79" s="47">
        <v>0</v>
      </c>
      <c r="B79" s="47" t="s">
        <v>373</v>
      </c>
      <c r="C79" s="47">
        <v>1</v>
      </c>
      <c r="D79" s="47" t="s">
        <v>9</v>
      </c>
      <c r="E79" s="47" t="s">
        <v>374</v>
      </c>
      <c r="F79" s="47" t="s">
        <v>375</v>
      </c>
    </row>
    <row r="80" spans="1:6" ht="29.1" customHeight="1">
      <c r="A80" s="77" t="s">
        <v>307</v>
      </c>
      <c r="B80" s="77"/>
      <c r="C80" s="49">
        <f>SUM(C79:C79)</f>
        <v>1</v>
      </c>
      <c r="D80" s="78" t="s">
        <v>352</v>
      </c>
      <c r="E80" s="78"/>
      <c r="F80" s="78"/>
    </row>
    <row r="81" spans="1:6" ht="29.1" customHeight="1">
      <c r="A81" s="77" t="s">
        <v>310</v>
      </c>
      <c r="B81" s="77"/>
      <c r="C81" s="49">
        <f>3+C80</f>
        <v>4</v>
      </c>
      <c r="D81" s="78" t="s">
        <v>312</v>
      </c>
      <c r="E81" s="78"/>
      <c r="F81" s="78"/>
    </row>
    <row r="83" spans="1:6" ht="24" customHeight="1">
      <c r="A83" s="85" t="s">
        <v>376</v>
      </c>
      <c r="B83" s="85"/>
      <c r="C83" s="85"/>
      <c r="D83" s="85"/>
      <c r="E83" s="85"/>
      <c r="F83" s="85"/>
    </row>
    <row r="84" spans="1:6" ht="36" customHeight="1">
      <c r="A84" s="76" t="s">
        <v>377</v>
      </c>
      <c r="B84" s="76"/>
      <c r="C84" s="76"/>
      <c r="D84" s="76"/>
      <c r="E84" s="76"/>
      <c r="F84" s="76"/>
    </row>
    <row r="85" spans="1:6" ht="21.95" customHeight="1">
      <c r="A85" s="39" t="s">
        <v>288</v>
      </c>
      <c r="B85" s="39" t="s">
        <v>55</v>
      </c>
      <c r="C85" s="39" t="s">
        <v>289</v>
      </c>
      <c r="D85" s="39" t="s">
        <v>290</v>
      </c>
      <c r="E85" s="39" t="s">
        <v>291</v>
      </c>
      <c r="F85" s="39" t="s">
        <v>5</v>
      </c>
    </row>
    <row r="86" spans="1:6" ht="29.1" customHeight="1">
      <c r="A86" s="47">
        <v>0</v>
      </c>
      <c r="B86" s="47" t="s">
        <v>378</v>
      </c>
      <c r="C86" s="47">
        <v>1</v>
      </c>
      <c r="D86" s="47" t="s">
        <v>9</v>
      </c>
      <c r="E86" s="47" t="s">
        <v>305</v>
      </c>
      <c r="F86" s="47" t="s">
        <v>379</v>
      </c>
    </row>
    <row r="87" spans="1:6" ht="29.1" customHeight="1">
      <c r="A87" s="48">
        <v>1</v>
      </c>
      <c r="B87" s="48" t="s">
        <v>380</v>
      </c>
      <c r="C87" s="48">
        <v>1</v>
      </c>
      <c r="D87" s="48" t="s">
        <v>9</v>
      </c>
      <c r="E87" s="48" t="s">
        <v>381</v>
      </c>
      <c r="F87" s="48" t="s">
        <v>382</v>
      </c>
    </row>
    <row r="88" spans="1:6" ht="29.1" customHeight="1">
      <c r="A88" s="47">
        <v>2</v>
      </c>
      <c r="B88" s="47" t="s">
        <v>383</v>
      </c>
      <c r="C88" s="47">
        <v>1</v>
      </c>
      <c r="D88" s="47" t="s">
        <v>9</v>
      </c>
      <c r="E88" s="47" t="s">
        <v>384</v>
      </c>
      <c r="F88" s="47" t="s">
        <v>385</v>
      </c>
    </row>
    <row r="89" spans="1:6" ht="29.1" customHeight="1">
      <c r="A89" s="48">
        <v>3</v>
      </c>
      <c r="B89" s="48" t="s">
        <v>386</v>
      </c>
      <c r="C89" s="48" t="s">
        <v>30</v>
      </c>
      <c r="D89" s="48">
        <v>180</v>
      </c>
      <c r="E89" s="48" t="s">
        <v>293</v>
      </c>
      <c r="F89" s="48" t="s">
        <v>387</v>
      </c>
    </row>
    <row r="90" spans="1:6" ht="29.1" customHeight="1">
      <c r="A90" s="47" t="s">
        <v>303</v>
      </c>
      <c r="B90" s="47" t="s">
        <v>388</v>
      </c>
      <c r="C90" s="47" t="s">
        <v>30</v>
      </c>
      <c r="D90" s="47">
        <v>40</v>
      </c>
      <c r="E90" s="47" t="s">
        <v>293</v>
      </c>
      <c r="F90" s="47" t="s">
        <v>389</v>
      </c>
    </row>
    <row r="91" spans="1:6" ht="29.1" customHeight="1">
      <c r="A91" s="77" t="s">
        <v>307</v>
      </c>
      <c r="B91" s="77"/>
      <c r="C91" s="49" t="s">
        <v>308</v>
      </c>
      <c r="D91" s="78" t="s">
        <v>390</v>
      </c>
      <c r="E91" s="78"/>
      <c r="F91" s="78"/>
    </row>
    <row r="92" spans="1:6" ht="29.1" customHeight="1">
      <c r="A92" s="77" t="s">
        <v>310</v>
      </c>
      <c r="B92" s="77"/>
      <c r="C92" s="49" t="s">
        <v>391</v>
      </c>
      <c r="D92" s="78" t="s">
        <v>392</v>
      </c>
      <c r="E92" s="78"/>
      <c r="F92" s="78"/>
    </row>
    <row r="94" spans="1:6" ht="24" customHeight="1">
      <c r="A94" s="85" t="s">
        <v>393</v>
      </c>
      <c r="B94" s="85"/>
      <c r="C94" s="85"/>
      <c r="D94" s="85"/>
      <c r="E94" s="85"/>
      <c r="F94" s="85"/>
    </row>
    <row r="95" spans="1:6" ht="36" customHeight="1">
      <c r="A95" s="76" t="s">
        <v>394</v>
      </c>
      <c r="B95" s="76"/>
      <c r="C95" s="76"/>
      <c r="D95" s="76"/>
      <c r="E95" s="76"/>
      <c r="F95" s="76"/>
    </row>
    <row r="96" spans="1:6" ht="21.95" customHeight="1">
      <c r="A96" s="39" t="s">
        <v>288</v>
      </c>
      <c r="B96" s="39" t="s">
        <v>55</v>
      </c>
      <c r="C96" s="39" t="s">
        <v>289</v>
      </c>
      <c r="D96" s="39" t="s">
        <v>290</v>
      </c>
      <c r="E96" s="39" t="s">
        <v>291</v>
      </c>
      <c r="F96" s="39" t="s">
        <v>5</v>
      </c>
    </row>
    <row r="97" spans="1:6" ht="29.1" customHeight="1">
      <c r="A97" s="47" t="s">
        <v>395</v>
      </c>
      <c r="B97" s="47" t="s">
        <v>396</v>
      </c>
      <c r="C97" s="47">
        <v>0</v>
      </c>
      <c r="D97" s="47" t="s">
        <v>9</v>
      </c>
      <c r="E97" s="47" t="s">
        <v>397</v>
      </c>
      <c r="F97" s="47" t="s">
        <v>398</v>
      </c>
    </row>
    <row r="98" spans="1:6" ht="29.1" customHeight="1">
      <c r="A98" s="77" t="s">
        <v>307</v>
      </c>
      <c r="B98" s="77"/>
      <c r="C98" s="49">
        <f>SUM(C97:C97)</f>
        <v>0</v>
      </c>
      <c r="D98" s="78" t="s">
        <v>352</v>
      </c>
      <c r="E98" s="78"/>
      <c r="F98" s="78"/>
    </row>
    <row r="99" spans="1:6" ht="29.1" customHeight="1">
      <c r="A99" s="77" t="s">
        <v>310</v>
      </c>
      <c r="B99" s="77"/>
      <c r="C99" s="49">
        <f>3+C98</f>
        <v>3</v>
      </c>
      <c r="D99" s="78" t="s">
        <v>312</v>
      </c>
      <c r="E99" s="78"/>
      <c r="F99" s="78"/>
    </row>
    <row r="101" spans="1:6" ht="24" customHeight="1">
      <c r="A101" s="85" t="s">
        <v>399</v>
      </c>
      <c r="B101" s="85"/>
      <c r="C101" s="85"/>
      <c r="D101" s="85"/>
      <c r="E101" s="85"/>
      <c r="F101" s="85"/>
    </row>
    <row r="102" spans="1:6" ht="51" customHeight="1">
      <c r="A102" s="76" t="s">
        <v>400</v>
      </c>
      <c r="B102" s="76"/>
      <c r="C102" s="76"/>
      <c r="D102" s="76"/>
      <c r="E102" s="76"/>
      <c r="F102" s="76"/>
    </row>
    <row r="103" spans="1:6" ht="21.95" customHeight="1">
      <c r="A103" s="39" t="s">
        <v>288</v>
      </c>
      <c r="B103" s="39" t="s">
        <v>55</v>
      </c>
      <c r="C103" s="39" t="s">
        <v>289</v>
      </c>
      <c r="D103" s="39" t="s">
        <v>290</v>
      </c>
      <c r="E103" s="39" t="s">
        <v>291</v>
      </c>
      <c r="F103" s="39" t="s">
        <v>5</v>
      </c>
    </row>
    <row r="104" spans="1:6" ht="29.1" customHeight="1">
      <c r="A104" s="47">
        <v>0</v>
      </c>
      <c r="B104" s="47" t="s">
        <v>401</v>
      </c>
      <c r="C104" s="47">
        <v>1</v>
      </c>
      <c r="D104" s="47" t="s">
        <v>9</v>
      </c>
      <c r="E104" s="47" t="s">
        <v>374</v>
      </c>
      <c r="F104" s="47" t="s">
        <v>402</v>
      </c>
    </row>
    <row r="105" spans="1:6" ht="29.1" customHeight="1">
      <c r="A105" s="77" t="s">
        <v>307</v>
      </c>
      <c r="B105" s="77"/>
      <c r="C105" s="49">
        <f>SUM(C104:C104)</f>
        <v>1</v>
      </c>
      <c r="D105" s="78" t="s">
        <v>352</v>
      </c>
      <c r="E105" s="78"/>
      <c r="F105" s="78"/>
    </row>
    <row r="106" spans="1:6" ht="29.1" customHeight="1">
      <c r="A106" s="77" t="s">
        <v>310</v>
      </c>
      <c r="B106" s="77"/>
      <c r="C106" s="49">
        <f>3+C105</f>
        <v>4</v>
      </c>
      <c r="D106" s="78" t="s">
        <v>312</v>
      </c>
      <c r="E106" s="78"/>
      <c r="F106" s="78"/>
    </row>
    <row r="108" spans="1:6" ht="24" customHeight="1">
      <c r="A108" s="85" t="s">
        <v>403</v>
      </c>
      <c r="B108" s="85"/>
      <c r="C108" s="85"/>
      <c r="D108" s="85"/>
      <c r="E108" s="85"/>
      <c r="F108" s="85"/>
    </row>
    <row r="109" spans="1:6" ht="36" customHeight="1">
      <c r="A109" s="76" t="s">
        <v>404</v>
      </c>
      <c r="B109" s="76"/>
      <c r="C109" s="76"/>
      <c r="D109" s="76"/>
      <c r="E109" s="76"/>
      <c r="F109" s="76"/>
    </row>
    <row r="110" spans="1:6" ht="21.95" customHeight="1">
      <c r="A110" s="39" t="s">
        <v>288</v>
      </c>
      <c r="B110" s="39" t="s">
        <v>55</v>
      </c>
      <c r="C110" s="39" t="s">
        <v>289</v>
      </c>
      <c r="D110" s="39" t="s">
        <v>290</v>
      </c>
      <c r="E110" s="39" t="s">
        <v>291</v>
      </c>
      <c r="F110" s="39" t="s">
        <v>5</v>
      </c>
    </row>
    <row r="111" spans="1:6" ht="29.1" customHeight="1">
      <c r="A111" s="47">
        <v>0</v>
      </c>
      <c r="B111" s="47" t="s">
        <v>401</v>
      </c>
      <c r="C111" s="47">
        <v>1</v>
      </c>
      <c r="D111" s="47" t="s">
        <v>9</v>
      </c>
      <c r="E111" s="47" t="s">
        <v>374</v>
      </c>
      <c r="F111" s="47" t="s">
        <v>405</v>
      </c>
    </row>
    <row r="112" spans="1:6" ht="29.1" customHeight="1">
      <c r="A112" s="48">
        <v>1</v>
      </c>
      <c r="B112" s="48" t="s">
        <v>406</v>
      </c>
      <c r="C112" s="48">
        <v>4</v>
      </c>
      <c r="D112" s="48" t="s">
        <v>9</v>
      </c>
      <c r="E112" s="48" t="s">
        <v>369</v>
      </c>
      <c r="F112" s="48" t="s">
        <v>407</v>
      </c>
    </row>
    <row r="113" spans="1:6" ht="29.1" customHeight="1">
      <c r="A113" s="77" t="s">
        <v>307</v>
      </c>
      <c r="B113" s="77"/>
      <c r="C113" s="49">
        <f>SUM(C111:C112)</f>
        <v>5</v>
      </c>
      <c r="D113" s="78" t="s">
        <v>352</v>
      </c>
      <c r="E113" s="78"/>
      <c r="F113" s="78"/>
    </row>
    <row r="114" spans="1:6" ht="29.1" customHeight="1">
      <c r="A114" s="77" t="s">
        <v>310</v>
      </c>
      <c r="B114" s="77"/>
      <c r="C114" s="49">
        <f>3+C113</f>
        <v>8</v>
      </c>
      <c r="D114" s="78" t="s">
        <v>312</v>
      </c>
      <c r="E114" s="78"/>
      <c r="F114" s="78"/>
    </row>
    <row r="116" spans="1:6" ht="27.75" customHeight="1">
      <c r="A116" s="83" t="s">
        <v>1653</v>
      </c>
      <c r="B116" s="83"/>
      <c r="C116" s="83"/>
      <c r="D116" s="83"/>
      <c r="E116" s="83"/>
      <c r="F116" s="83"/>
    </row>
    <row r="117" spans="1:6">
      <c r="A117" s="84" t="s">
        <v>1654</v>
      </c>
      <c r="B117" s="84"/>
      <c r="C117" s="84"/>
      <c r="D117" s="84"/>
      <c r="E117" s="84"/>
      <c r="F117" s="84"/>
    </row>
    <row r="118" spans="1:6">
      <c r="A118" s="34" t="s">
        <v>288</v>
      </c>
      <c r="B118" s="34" t="s">
        <v>55</v>
      </c>
      <c r="C118" s="34" t="s">
        <v>289</v>
      </c>
      <c r="D118" s="34" t="s">
        <v>290</v>
      </c>
      <c r="E118" s="34" t="s">
        <v>291</v>
      </c>
      <c r="F118" s="34" t="s">
        <v>5</v>
      </c>
    </row>
    <row r="119" spans="1:6">
      <c r="A119" s="35">
        <v>0</v>
      </c>
      <c r="B119" s="35" t="s">
        <v>401</v>
      </c>
      <c r="C119" s="35">
        <v>1</v>
      </c>
      <c r="D119" s="35" t="s">
        <v>9</v>
      </c>
      <c r="E119" s="35" t="s">
        <v>81</v>
      </c>
      <c r="F119" s="35" t="s">
        <v>408</v>
      </c>
    </row>
    <row r="120" spans="1:6">
      <c r="A120" s="88" t="s">
        <v>307</v>
      </c>
      <c r="B120" s="88"/>
      <c r="C120" s="38">
        <f>SUM(C119:C119)</f>
        <v>1</v>
      </c>
      <c r="D120" s="86" t="s">
        <v>352</v>
      </c>
      <c r="E120" s="86"/>
      <c r="F120" s="86"/>
    </row>
    <row r="121" spans="1:6">
      <c r="A121" s="88" t="s">
        <v>310</v>
      </c>
      <c r="B121" s="88"/>
      <c r="C121" s="38">
        <f>3+C120</f>
        <v>4</v>
      </c>
      <c r="D121" s="86" t="s">
        <v>312</v>
      </c>
      <c r="E121" s="86"/>
      <c r="F121" s="86"/>
    </row>
    <row r="123" spans="1:6">
      <c r="A123" s="70" t="s">
        <v>409</v>
      </c>
      <c r="B123" s="70"/>
      <c r="C123" s="70"/>
      <c r="D123" s="70"/>
      <c r="E123" s="70"/>
      <c r="F123" s="70"/>
    </row>
  </sheetData>
  <mergeCells count="87">
    <mergeCell ref="A123:F123"/>
    <mergeCell ref="A106:B106"/>
    <mergeCell ref="D106:F106"/>
    <mergeCell ref="A108:F108"/>
    <mergeCell ref="A109:F109"/>
    <mergeCell ref="A113:B113"/>
    <mergeCell ref="D113:F113"/>
    <mergeCell ref="A116:F116"/>
    <mergeCell ref="A120:B120"/>
    <mergeCell ref="D120:F120"/>
    <mergeCell ref="A117:F117"/>
    <mergeCell ref="A121:B121"/>
    <mergeCell ref="D121:F121"/>
    <mergeCell ref="A101:F101"/>
    <mergeCell ref="A102:F102"/>
    <mergeCell ref="A105:B105"/>
    <mergeCell ref="D105:F105"/>
    <mergeCell ref="A114:B114"/>
    <mergeCell ref="D114:F114"/>
    <mergeCell ref="A94:F94"/>
    <mergeCell ref="A95:F95"/>
    <mergeCell ref="A98:B98"/>
    <mergeCell ref="D98:F98"/>
    <mergeCell ref="A99:B99"/>
    <mergeCell ref="D99:F99"/>
    <mergeCell ref="A83:F83"/>
    <mergeCell ref="A84:F84"/>
    <mergeCell ref="A91:B91"/>
    <mergeCell ref="D91:F91"/>
    <mergeCell ref="A92:B92"/>
    <mergeCell ref="D92:F92"/>
    <mergeCell ref="A76:F76"/>
    <mergeCell ref="A77:F77"/>
    <mergeCell ref="A80:B80"/>
    <mergeCell ref="D80:F80"/>
    <mergeCell ref="A81:B81"/>
    <mergeCell ref="D81:F81"/>
    <mergeCell ref="A69:F69"/>
    <mergeCell ref="A70:F70"/>
    <mergeCell ref="A73:B73"/>
    <mergeCell ref="D73:F73"/>
    <mergeCell ref="A74:B74"/>
    <mergeCell ref="D74:F74"/>
    <mergeCell ref="A60:F60"/>
    <mergeCell ref="A61:F61"/>
    <mergeCell ref="A66:B66"/>
    <mergeCell ref="D66:F66"/>
    <mergeCell ref="A67:B67"/>
    <mergeCell ref="D67:F67"/>
    <mergeCell ref="A53:F53"/>
    <mergeCell ref="A54:F54"/>
    <mergeCell ref="A57:B57"/>
    <mergeCell ref="D57:F57"/>
    <mergeCell ref="A58:B58"/>
    <mergeCell ref="D58:F58"/>
    <mergeCell ref="A42:F42"/>
    <mergeCell ref="A50:B50"/>
    <mergeCell ref="D50:F50"/>
    <mergeCell ref="A51:B51"/>
    <mergeCell ref="D51:F51"/>
    <mergeCell ref="A38:B38"/>
    <mergeCell ref="D38:F38"/>
    <mergeCell ref="A39:B39"/>
    <mergeCell ref="D39:F39"/>
    <mergeCell ref="A41:F41"/>
    <mergeCell ref="A1:F1"/>
    <mergeCell ref="A2:F2"/>
    <mergeCell ref="A4:F4"/>
    <mergeCell ref="A5:F5"/>
    <mergeCell ref="A11:B11"/>
    <mergeCell ref="D11:F11"/>
    <mergeCell ref="A12:B12"/>
    <mergeCell ref="D12:F12"/>
    <mergeCell ref="A14:F14"/>
    <mergeCell ref="A15:F15"/>
    <mergeCell ref="A19:B19"/>
    <mergeCell ref="D19:F19"/>
    <mergeCell ref="A31:F31"/>
    <mergeCell ref="A32:F32"/>
    <mergeCell ref="A20:B20"/>
    <mergeCell ref="D20:F20"/>
    <mergeCell ref="A28:B28"/>
    <mergeCell ref="D28:F28"/>
    <mergeCell ref="A29:B29"/>
    <mergeCell ref="D29:F29"/>
    <mergeCell ref="A22:F22"/>
    <mergeCell ref="A23:F23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2"/>
  <sheetViews>
    <sheetView workbookViewId="0">
      <selection sqref="A1:XFD1048576"/>
    </sheetView>
  </sheetViews>
  <sheetFormatPr defaultRowHeight="14.25"/>
  <cols>
    <col min="1" max="1" width="10" style="33" customWidth="1"/>
    <col min="2" max="2" width="26" style="33" customWidth="1"/>
    <col min="3" max="3" width="23" style="33" customWidth="1"/>
    <col min="4" max="4" width="13" style="33" customWidth="1"/>
    <col min="5" max="5" width="34" style="33" customWidth="1"/>
    <col min="6" max="6" width="72" style="33" customWidth="1"/>
    <col min="7" max="16384" width="9" style="33"/>
  </cols>
  <sheetData>
    <row r="1" spans="1:6" ht="33.950000000000003" customHeight="1">
      <c r="A1" s="71" t="s">
        <v>410</v>
      </c>
      <c r="B1" s="71"/>
      <c r="C1" s="71"/>
      <c r="D1" s="71"/>
      <c r="E1" s="71"/>
      <c r="F1" s="71"/>
    </row>
    <row r="2" spans="1:6" ht="21.95" customHeight="1">
      <c r="A2" s="87" t="s">
        <v>285</v>
      </c>
      <c r="B2" s="87"/>
      <c r="C2" s="87"/>
      <c r="D2" s="87"/>
      <c r="E2" s="87"/>
      <c r="F2" s="87"/>
    </row>
    <row r="4" spans="1:6" ht="24" customHeight="1">
      <c r="A4" s="85" t="s">
        <v>1646</v>
      </c>
      <c r="B4" s="85"/>
      <c r="C4" s="85"/>
      <c r="D4" s="85"/>
      <c r="E4" s="85"/>
      <c r="F4" s="85"/>
    </row>
    <row r="5" spans="1:6" ht="51" customHeight="1">
      <c r="A5" s="76" t="s">
        <v>411</v>
      </c>
      <c r="B5" s="76"/>
      <c r="C5" s="76"/>
      <c r="D5" s="76"/>
      <c r="E5" s="76"/>
      <c r="F5" s="76"/>
    </row>
    <row r="6" spans="1:6" ht="21.95" customHeight="1">
      <c r="A6" s="39" t="s">
        <v>288</v>
      </c>
      <c r="B6" s="39" t="s">
        <v>55</v>
      </c>
      <c r="C6" s="39" t="s">
        <v>289</v>
      </c>
      <c r="D6" s="39" t="s">
        <v>290</v>
      </c>
      <c r="E6" s="39" t="s">
        <v>291</v>
      </c>
      <c r="F6" s="39" t="s">
        <v>5</v>
      </c>
    </row>
    <row r="7" spans="1:6" ht="29.1" customHeight="1">
      <c r="A7" s="47">
        <v>0</v>
      </c>
      <c r="B7" s="47" t="s">
        <v>335</v>
      </c>
      <c r="C7" s="47">
        <v>1</v>
      </c>
      <c r="D7" s="47" t="s">
        <v>9</v>
      </c>
      <c r="E7" s="47" t="s">
        <v>336</v>
      </c>
      <c r="F7" s="47" t="s">
        <v>337</v>
      </c>
    </row>
    <row r="8" spans="1:6" ht="29.1" customHeight="1">
      <c r="A8" s="48">
        <v>1</v>
      </c>
      <c r="B8" s="48" t="s">
        <v>338</v>
      </c>
      <c r="C8" s="48">
        <v>1</v>
      </c>
      <c r="D8" s="48" t="s">
        <v>9</v>
      </c>
      <c r="E8" s="48" t="s">
        <v>339</v>
      </c>
      <c r="F8" s="48" t="s">
        <v>340</v>
      </c>
    </row>
    <row r="9" spans="1:6" ht="29.1" customHeight="1">
      <c r="A9" s="47">
        <v>2</v>
      </c>
      <c r="B9" s="47" t="s">
        <v>341</v>
      </c>
      <c r="C9" s="47">
        <v>1</v>
      </c>
      <c r="D9" s="47" t="s">
        <v>9</v>
      </c>
      <c r="E9" s="47" t="s">
        <v>342</v>
      </c>
      <c r="F9" s="47" t="s">
        <v>343</v>
      </c>
    </row>
    <row r="10" spans="1:6" ht="29.1" customHeight="1">
      <c r="A10" s="48">
        <v>3</v>
      </c>
      <c r="B10" s="48" t="s">
        <v>142</v>
      </c>
      <c r="C10" s="48">
        <v>1</v>
      </c>
      <c r="D10" s="48" t="s">
        <v>9</v>
      </c>
      <c r="E10" s="48" t="s">
        <v>305</v>
      </c>
      <c r="F10" s="48" t="s">
        <v>412</v>
      </c>
    </row>
    <row r="11" spans="1:6" ht="29.1" customHeight="1">
      <c r="A11" s="47">
        <v>4</v>
      </c>
      <c r="B11" s="47" t="s">
        <v>413</v>
      </c>
      <c r="C11" s="47">
        <v>1</v>
      </c>
      <c r="D11" s="47" t="s">
        <v>9</v>
      </c>
      <c r="E11" s="47" t="s">
        <v>305</v>
      </c>
      <c r="F11" s="47" t="s">
        <v>414</v>
      </c>
    </row>
    <row r="12" spans="1:6" ht="29.1" customHeight="1">
      <c r="A12" s="48">
        <v>5</v>
      </c>
      <c r="B12" s="48" t="s">
        <v>415</v>
      </c>
      <c r="C12" s="48" t="s">
        <v>30</v>
      </c>
      <c r="D12" s="48">
        <v>120</v>
      </c>
      <c r="E12" s="48" t="s">
        <v>293</v>
      </c>
      <c r="F12" s="48" t="s">
        <v>416</v>
      </c>
    </row>
    <row r="13" spans="1:6" ht="29.1" customHeight="1">
      <c r="A13" s="47" t="s">
        <v>303</v>
      </c>
      <c r="B13" s="47" t="s">
        <v>417</v>
      </c>
      <c r="C13" s="47">
        <v>1</v>
      </c>
      <c r="D13" s="47" t="s">
        <v>9</v>
      </c>
      <c r="E13" s="47" t="s">
        <v>418</v>
      </c>
      <c r="F13" s="47" t="s">
        <v>419</v>
      </c>
    </row>
    <row r="14" spans="1:6" ht="29.1" customHeight="1">
      <c r="A14" s="48" t="s">
        <v>303</v>
      </c>
      <c r="B14" s="48" t="s">
        <v>420</v>
      </c>
      <c r="C14" s="48" t="s">
        <v>308</v>
      </c>
      <c r="D14" s="48" t="s">
        <v>9</v>
      </c>
      <c r="E14" s="48" t="s">
        <v>319</v>
      </c>
      <c r="F14" s="48" t="s">
        <v>421</v>
      </c>
    </row>
    <row r="15" spans="1:6" ht="29.1" customHeight="1">
      <c r="A15" s="47" t="s">
        <v>303</v>
      </c>
      <c r="B15" s="47" t="s">
        <v>314</v>
      </c>
      <c r="C15" s="47">
        <v>1</v>
      </c>
      <c r="D15" s="47" t="s">
        <v>9</v>
      </c>
      <c r="E15" s="47" t="s">
        <v>422</v>
      </c>
      <c r="F15" s="47" t="s">
        <v>423</v>
      </c>
    </row>
    <row r="16" spans="1:6" ht="29.1" customHeight="1">
      <c r="A16" s="48" t="s">
        <v>303</v>
      </c>
      <c r="B16" s="48" t="s">
        <v>424</v>
      </c>
      <c r="C16" s="48" t="s">
        <v>308</v>
      </c>
      <c r="D16" s="48" t="s">
        <v>9</v>
      </c>
      <c r="E16" s="48" t="s">
        <v>319</v>
      </c>
      <c r="F16" s="48" t="s">
        <v>425</v>
      </c>
    </row>
    <row r="17" spans="1:6" ht="29.1" customHeight="1">
      <c r="A17" s="47" t="s">
        <v>303</v>
      </c>
      <c r="B17" s="47" t="s">
        <v>426</v>
      </c>
      <c r="C17" s="47">
        <v>10</v>
      </c>
      <c r="D17" s="47" t="s">
        <v>9</v>
      </c>
      <c r="E17" s="47" t="s">
        <v>427</v>
      </c>
      <c r="F17" s="47" t="s">
        <v>428</v>
      </c>
    </row>
    <row r="18" spans="1:6" ht="29.1" customHeight="1">
      <c r="A18" s="48" t="s">
        <v>303</v>
      </c>
      <c r="B18" s="48" t="s">
        <v>429</v>
      </c>
      <c r="C18" s="48" t="s">
        <v>30</v>
      </c>
      <c r="D18" s="48">
        <v>180</v>
      </c>
      <c r="E18" s="48" t="s">
        <v>293</v>
      </c>
      <c r="F18" s="48" t="s">
        <v>430</v>
      </c>
    </row>
    <row r="19" spans="1:6" ht="29.1" customHeight="1">
      <c r="A19" s="47" t="s">
        <v>303</v>
      </c>
      <c r="B19" s="47" t="s">
        <v>431</v>
      </c>
      <c r="C19" s="47" t="s">
        <v>30</v>
      </c>
      <c r="D19" s="47">
        <v>60</v>
      </c>
      <c r="E19" s="47" t="s">
        <v>293</v>
      </c>
      <c r="F19" s="47" t="s">
        <v>432</v>
      </c>
    </row>
    <row r="20" spans="1:6" ht="29.1" customHeight="1">
      <c r="A20" s="48" t="s">
        <v>303</v>
      </c>
      <c r="B20" s="48" t="s">
        <v>433</v>
      </c>
      <c r="C20" s="48" t="s">
        <v>30</v>
      </c>
      <c r="D20" s="48">
        <v>180</v>
      </c>
      <c r="E20" s="48" t="s">
        <v>293</v>
      </c>
      <c r="F20" s="48" t="s">
        <v>434</v>
      </c>
    </row>
    <row r="21" spans="1:6" ht="29.1" customHeight="1">
      <c r="A21" s="47" t="s">
        <v>303</v>
      </c>
      <c r="B21" s="47" t="s">
        <v>435</v>
      </c>
      <c r="C21" s="47" t="s">
        <v>30</v>
      </c>
      <c r="D21" s="47">
        <v>120</v>
      </c>
      <c r="E21" s="47" t="s">
        <v>293</v>
      </c>
      <c r="F21" s="47" t="s">
        <v>436</v>
      </c>
    </row>
    <row r="22" spans="1:6" ht="29.1" customHeight="1">
      <c r="A22" s="77" t="s">
        <v>307</v>
      </c>
      <c r="B22" s="77"/>
      <c r="C22" s="49" t="s">
        <v>308</v>
      </c>
      <c r="D22" s="78" t="s">
        <v>1647</v>
      </c>
      <c r="E22" s="78"/>
      <c r="F22" s="78"/>
    </row>
    <row r="23" spans="1:6" ht="29.1" customHeight="1">
      <c r="A23" s="77" t="s">
        <v>310</v>
      </c>
      <c r="B23" s="77"/>
      <c r="C23" s="49" t="s">
        <v>391</v>
      </c>
      <c r="D23" s="78" t="s">
        <v>392</v>
      </c>
      <c r="E23" s="78"/>
      <c r="F23" s="78"/>
    </row>
    <row r="25" spans="1:6" ht="24" customHeight="1">
      <c r="A25" s="85" t="s">
        <v>437</v>
      </c>
      <c r="B25" s="85"/>
      <c r="C25" s="85"/>
      <c r="D25" s="85"/>
      <c r="E25" s="85"/>
      <c r="F25" s="85"/>
    </row>
    <row r="26" spans="1:6" ht="36" customHeight="1">
      <c r="A26" s="76" t="s">
        <v>438</v>
      </c>
      <c r="B26" s="76"/>
      <c r="C26" s="76"/>
      <c r="D26" s="76"/>
      <c r="E26" s="76"/>
      <c r="F26" s="76"/>
    </row>
    <row r="27" spans="1:6" ht="21.95" customHeight="1">
      <c r="A27" s="39" t="s">
        <v>288</v>
      </c>
      <c r="B27" s="39" t="s">
        <v>55</v>
      </c>
      <c r="C27" s="39" t="s">
        <v>289</v>
      </c>
      <c r="D27" s="39" t="s">
        <v>290</v>
      </c>
      <c r="E27" s="39" t="s">
        <v>291</v>
      </c>
      <c r="F27" s="39" t="s">
        <v>5</v>
      </c>
    </row>
    <row r="28" spans="1:6" ht="29.1" customHeight="1">
      <c r="A28" s="47">
        <v>0</v>
      </c>
      <c r="B28" s="47" t="s">
        <v>439</v>
      </c>
      <c r="C28" s="47" t="s">
        <v>30</v>
      </c>
      <c r="D28" s="47">
        <v>36</v>
      </c>
      <c r="E28" s="47" t="s">
        <v>293</v>
      </c>
      <c r="F28" s="47" t="s">
        <v>440</v>
      </c>
    </row>
    <row r="29" spans="1:6" ht="29.1" customHeight="1">
      <c r="A29" s="48" t="s">
        <v>295</v>
      </c>
      <c r="B29" s="48" t="s">
        <v>441</v>
      </c>
      <c r="C29" s="48" t="s">
        <v>30</v>
      </c>
      <c r="D29" s="48">
        <v>40</v>
      </c>
      <c r="E29" s="48" t="s">
        <v>293</v>
      </c>
      <c r="F29" s="48" t="s">
        <v>442</v>
      </c>
    </row>
    <row r="30" spans="1:6" ht="29.1" customHeight="1">
      <c r="A30" s="47" t="s">
        <v>303</v>
      </c>
      <c r="B30" s="47" t="s">
        <v>443</v>
      </c>
      <c r="C30" s="47" t="s">
        <v>30</v>
      </c>
      <c r="D30" s="47">
        <v>100</v>
      </c>
      <c r="E30" s="47" t="s">
        <v>293</v>
      </c>
      <c r="F30" s="47" t="s">
        <v>444</v>
      </c>
    </row>
    <row r="31" spans="1:6" ht="29.1" customHeight="1">
      <c r="A31" s="48" t="s">
        <v>303</v>
      </c>
      <c r="B31" s="48" t="s">
        <v>445</v>
      </c>
      <c r="C31" s="48" t="s">
        <v>30</v>
      </c>
      <c r="D31" s="48">
        <v>80</v>
      </c>
      <c r="E31" s="48" t="s">
        <v>293</v>
      </c>
      <c r="F31" s="48" t="s">
        <v>446</v>
      </c>
    </row>
    <row r="32" spans="1:6" ht="29.1" customHeight="1">
      <c r="A32" s="47" t="s">
        <v>303</v>
      </c>
      <c r="B32" s="47" t="s">
        <v>447</v>
      </c>
      <c r="C32" s="47">
        <v>1</v>
      </c>
      <c r="D32" s="47" t="s">
        <v>9</v>
      </c>
      <c r="E32" s="47" t="s">
        <v>305</v>
      </c>
      <c r="F32" s="47" t="s">
        <v>448</v>
      </c>
    </row>
    <row r="33" spans="1:6" ht="29.1" customHeight="1">
      <c r="A33" s="77" t="s">
        <v>307</v>
      </c>
      <c r="B33" s="77"/>
      <c r="C33" s="49" t="s">
        <v>308</v>
      </c>
      <c r="D33" s="78" t="s">
        <v>449</v>
      </c>
      <c r="E33" s="78"/>
      <c r="F33" s="78"/>
    </row>
    <row r="34" spans="1:6" ht="29.1" customHeight="1">
      <c r="A34" s="77" t="s">
        <v>310</v>
      </c>
      <c r="B34" s="77"/>
      <c r="C34" s="49" t="s">
        <v>391</v>
      </c>
      <c r="D34" s="78" t="s">
        <v>392</v>
      </c>
      <c r="E34" s="78"/>
      <c r="F34" s="78"/>
    </row>
    <row r="36" spans="1:6" ht="24" customHeight="1">
      <c r="A36" s="83" t="s">
        <v>450</v>
      </c>
      <c r="B36" s="83"/>
      <c r="C36" s="83"/>
      <c r="D36" s="83"/>
      <c r="E36" s="83"/>
      <c r="F36" s="83"/>
    </row>
    <row r="37" spans="1:6" ht="36" customHeight="1">
      <c r="A37" s="84" t="s">
        <v>451</v>
      </c>
      <c r="B37" s="84"/>
      <c r="C37" s="84"/>
      <c r="D37" s="84"/>
      <c r="E37" s="84"/>
      <c r="F37" s="84"/>
    </row>
    <row r="38" spans="1:6" ht="21.95" customHeight="1">
      <c r="A38" s="34" t="s">
        <v>288</v>
      </c>
      <c r="B38" s="34" t="s">
        <v>55</v>
      </c>
      <c r="C38" s="34" t="s">
        <v>289</v>
      </c>
      <c r="D38" s="34" t="s">
        <v>290</v>
      </c>
      <c r="E38" s="34" t="s">
        <v>291</v>
      </c>
      <c r="F38" s="34" t="s">
        <v>5</v>
      </c>
    </row>
    <row r="39" spans="1:6" ht="29.1" customHeight="1">
      <c r="A39" s="35" t="s">
        <v>452</v>
      </c>
      <c r="B39" s="35" t="s">
        <v>453</v>
      </c>
      <c r="C39" s="35" t="s">
        <v>454</v>
      </c>
      <c r="D39" s="35" t="s">
        <v>9</v>
      </c>
      <c r="E39" s="35" t="s">
        <v>90</v>
      </c>
      <c r="F39" s="35" t="s">
        <v>455</v>
      </c>
    </row>
    <row r="40" spans="1:6" ht="29.1" customHeight="1">
      <c r="A40" s="36" t="s">
        <v>456</v>
      </c>
      <c r="B40" s="36" t="s">
        <v>457</v>
      </c>
      <c r="C40" s="36" t="s">
        <v>458</v>
      </c>
      <c r="D40" s="36" t="s">
        <v>9</v>
      </c>
      <c r="E40" s="36" t="s">
        <v>369</v>
      </c>
      <c r="F40" s="36" t="s">
        <v>459</v>
      </c>
    </row>
    <row r="41" spans="1:6" ht="29.1" customHeight="1">
      <c r="A41" s="35" t="s">
        <v>460</v>
      </c>
      <c r="B41" s="35" t="s">
        <v>461</v>
      </c>
      <c r="C41" s="35" t="s">
        <v>462</v>
      </c>
      <c r="D41" s="35" t="s">
        <v>9</v>
      </c>
      <c r="E41" s="35" t="s">
        <v>463</v>
      </c>
      <c r="F41" s="35" t="s">
        <v>464</v>
      </c>
    </row>
    <row r="42" spans="1:6" ht="29.1" customHeight="1">
      <c r="A42" s="36" t="s">
        <v>465</v>
      </c>
      <c r="B42" s="36" t="s">
        <v>466</v>
      </c>
      <c r="C42" s="36" t="s">
        <v>467</v>
      </c>
      <c r="D42" s="36" t="s">
        <v>9</v>
      </c>
      <c r="E42" s="36" t="s">
        <v>468</v>
      </c>
      <c r="F42" s="36" t="s">
        <v>469</v>
      </c>
    </row>
    <row r="43" spans="1:6" ht="29.1" customHeight="1">
      <c r="A43" s="35" t="s">
        <v>470</v>
      </c>
      <c r="B43" s="35" t="s">
        <v>471</v>
      </c>
      <c r="C43" s="35" t="s">
        <v>472</v>
      </c>
      <c r="D43" s="35" t="s">
        <v>473</v>
      </c>
      <c r="E43" s="35" t="s">
        <v>474</v>
      </c>
      <c r="F43" s="35" t="s">
        <v>475</v>
      </c>
    </row>
    <row r="44" spans="1:6" ht="29.1" customHeight="1">
      <c r="A44" s="88" t="s">
        <v>307</v>
      </c>
      <c r="B44" s="88"/>
      <c r="C44" s="38" t="s">
        <v>476</v>
      </c>
      <c r="D44" s="86" t="s">
        <v>477</v>
      </c>
      <c r="E44" s="86"/>
      <c r="F44" s="86"/>
    </row>
    <row r="45" spans="1:6" ht="29.1" customHeight="1">
      <c r="A45" s="88" t="s">
        <v>310</v>
      </c>
      <c r="B45" s="88"/>
      <c r="C45" s="38" t="s">
        <v>311</v>
      </c>
      <c r="D45" s="86" t="s">
        <v>312</v>
      </c>
      <c r="E45" s="86"/>
      <c r="F45" s="86"/>
    </row>
    <row r="47" spans="1:6" ht="24" customHeight="1">
      <c r="A47" s="85" t="s">
        <v>478</v>
      </c>
      <c r="B47" s="85"/>
      <c r="C47" s="85"/>
      <c r="D47" s="85"/>
      <c r="E47" s="85"/>
      <c r="F47" s="85"/>
    </row>
    <row r="48" spans="1:6" ht="51" customHeight="1">
      <c r="A48" s="76" t="s">
        <v>479</v>
      </c>
      <c r="B48" s="76"/>
      <c r="C48" s="76"/>
      <c r="D48" s="76"/>
      <c r="E48" s="76"/>
      <c r="F48" s="76"/>
    </row>
    <row r="49" spans="1:6" ht="21.95" customHeight="1">
      <c r="A49" s="39" t="s">
        <v>288</v>
      </c>
      <c r="B49" s="39" t="s">
        <v>55</v>
      </c>
      <c r="C49" s="39" t="s">
        <v>289</v>
      </c>
      <c r="D49" s="39" t="s">
        <v>290</v>
      </c>
      <c r="E49" s="39" t="s">
        <v>291</v>
      </c>
      <c r="F49" s="39" t="s">
        <v>5</v>
      </c>
    </row>
    <row r="50" spans="1:6" ht="29.1" customHeight="1">
      <c r="A50" s="47">
        <v>0</v>
      </c>
      <c r="B50" s="47" t="s">
        <v>453</v>
      </c>
      <c r="C50" s="47">
        <v>1</v>
      </c>
      <c r="D50" s="47" t="s">
        <v>9</v>
      </c>
      <c r="E50" s="47" t="s">
        <v>480</v>
      </c>
      <c r="F50" s="47" t="s">
        <v>481</v>
      </c>
    </row>
    <row r="51" spans="1:6" ht="29.1" customHeight="1">
      <c r="A51" s="48">
        <v>1</v>
      </c>
      <c r="B51" s="48" t="s">
        <v>406</v>
      </c>
      <c r="C51" s="48">
        <v>4</v>
      </c>
      <c r="D51" s="48" t="s">
        <v>9</v>
      </c>
      <c r="E51" s="48" t="s">
        <v>369</v>
      </c>
      <c r="F51" s="48" t="s">
        <v>482</v>
      </c>
    </row>
    <row r="52" spans="1:6" ht="29.1" customHeight="1">
      <c r="A52" s="47">
        <v>5</v>
      </c>
      <c r="B52" s="47" t="s">
        <v>483</v>
      </c>
      <c r="C52" s="47">
        <v>16</v>
      </c>
      <c r="D52" s="47" t="s">
        <v>9</v>
      </c>
      <c r="E52" s="47" t="s">
        <v>484</v>
      </c>
      <c r="F52" s="47" t="s">
        <v>485</v>
      </c>
    </row>
    <row r="53" spans="1:6" ht="29.1" customHeight="1">
      <c r="A53" s="48">
        <v>21</v>
      </c>
      <c r="B53" s="48" t="s">
        <v>486</v>
      </c>
      <c r="C53" s="48">
        <v>4</v>
      </c>
      <c r="D53" s="48" t="s">
        <v>9</v>
      </c>
      <c r="E53" s="48" t="s">
        <v>369</v>
      </c>
      <c r="F53" s="48" t="s">
        <v>487</v>
      </c>
    </row>
    <row r="54" spans="1:6" ht="29.1" customHeight="1">
      <c r="A54" s="47">
        <v>25</v>
      </c>
      <c r="B54" s="47" t="s">
        <v>488</v>
      </c>
      <c r="C54" s="47">
        <v>4</v>
      </c>
      <c r="D54" s="47" t="s">
        <v>9</v>
      </c>
      <c r="E54" s="47" t="s">
        <v>489</v>
      </c>
      <c r="F54" s="47" t="s">
        <v>490</v>
      </c>
    </row>
    <row r="55" spans="1:6" ht="29.1" customHeight="1">
      <c r="A55" s="48">
        <v>29</v>
      </c>
      <c r="B55" s="48" t="s">
        <v>491</v>
      </c>
      <c r="C55" s="48" t="s">
        <v>73</v>
      </c>
      <c r="D55" s="48" t="s">
        <v>492</v>
      </c>
      <c r="E55" s="48" t="s">
        <v>493</v>
      </c>
      <c r="F55" s="48" t="s">
        <v>494</v>
      </c>
    </row>
    <row r="56" spans="1:6" ht="29.1" customHeight="1">
      <c r="A56" s="77" t="s">
        <v>307</v>
      </c>
      <c r="B56" s="77"/>
      <c r="C56" s="49" t="s">
        <v>308</v>
      </c>
      <c r="D56" s="78" t="s">
        <v>495</v>
      </c>
      <c r="E56" s="78"/>
      <c r="F56" s="78"/>
    </row>
    <row r="57" spans="1:6" ht="29.1" customHeight="1">
      <c r="A57" s="77" t="s">
        <v>310</v>
      </c>
      <c r="B57" s="77"/>
      <c r="C57" s="49" t="s">
        <v>391</v>
      </c>
      <c r="D57" s="78" t="s">
        <v>392</v>
      </c>
      <c r="E57" s="78"/>
      <c r="F57" s="78"/>
    </row>
    <row r="59" spans="1:6" ht="24" customHeight="1">
      <c r="A59" s="85" t="s">
        <v>496</v>
      </c>
      <c r="B59" s="85"/>
      <c r="C59" s="85"/>
      <c r="D59" s="85"/>
      <c r="E59" s="85"/>
      <c r="F59" s="85"/>
    </row>
    <row r="60" spans="1:6" ht="51" customHeight="1">
      <c r="A60" s="76" t="s">
        <v>1648</v>
      </c>
      <c r="B60" s="76"/>
      <c r="C60" s="76"/>
      <c r="D60" s="76"/>
      <c r="E60" s="76"/>
      <c r="F60" s="76"/>
    </row>
    <row r="61" spans="1:6" ht="21.95" customHeight="1">
      <c r="A61" s="39" t="s">
        <v>288</v>
      </c>
      <c r="B61" s="39" t="s">
        <v>55</v>
      </c>
      <c r="C61" s="39" t="s">
        <v>289</v>
      </c>
      <c r="D61" s="39" t="s">
        <v>290</v>
      </c>
      <c r="E61" s="39" t="s">
        <v>291</v>
      </c>
      <c r="F61" s="39" t="s">
        <v>5</v>
      </c>
    </row>
    <row r="62" spans="1:6" ht="29.1" customHeight="1">
      <c r="A62" s="47">
        <v>0</v>
      </c>
      <c r="B62" s="47" t="s">
        <v>453</v>
      </c>
      <c r="C62" s="47">
        <v>1</v>
      </c>
      <c r="D62" s="47" t="s">
        <v>9</v>
      </c>
      <c r="E62" s="47" t="s">
        <v>497</v>
      </c>
      <c r="F62" s="47" t="s">
        <v>498</v>
      </c>
    </row>
    <row r="63" spans="1:6" ht="29.1" customHeight="1">
      <c r="A63" s="48">
        <v>1</v>
      </c>
      <c r="B63" s="48" t="s">
        <v>499</v>
      </c>
      <c r="C63" s="48">
        <v>1</v>
      </c>
      <c r="D63" s="48" t="s">
        <v>9</v>
      </c>
      <c r="E63" s="48" t="s">
        <v>500</v>
      </c>
      <c r="F63" s="48" t="s">
        <v>501</v>
      </c>
    </row>
    <row r="64" spans="1:6" ht="29.1" customHeight="1">
      <c r="A64" s="47">
        <v>2</v>
      </c>
      <c r="B64" s="47" t="s">
        <v>406</v>
      </c>
      <c r="C64" s="47">
        <v>4</v>
      </c>
      <c r="D64" s="47" t="s">
        <v>9</v>
      </c>
      <c r="E64" s="47" t="s">
        <v>369</v>
      </c>
      <c r="F64" s="47" t="s">
        <v>502</v>
      </c>
    </row>
    <row r="65" spans="1:6" ht="29.1" customHeight="1">
      <c r="A65" s="48">
        <v>6</v>
      </c>
      <c r="B65" s="48" t="s">
        <v>503</v>
      </c>
      <c r="C65" s="48">
        <v>1</v>
      </c>
      <c r="D65" s="48" t="s">
        <v>9</v>
      </c>
      <c r="E65" s="48" t="s">
        <v>504</v>
      </c>
      <c r="F65" s="48" t="s">
        <v>505</v>
      </c>
    </row>
    <row r="66" spans="1:6" ht="29.1" customHeight="1">
      <c r="A66" s="47">
        <v>7</v>
      </c>
      <c r="B66" s="47" t="s">
        <v>506</v>
      </c>
      <c r="C66" s="47">
        <v>4</v>
      </c>
      <c r="D66" s="47" t="s">
        <v>9</v>
      </c>
      <c r="E66" s="47" t="s">
        <v>369</v>
      </c>
      <c r="F66" s="47" t="s">
        <v>507</v>
      </c>
    </row>
    <row r="67" spans="1:6" ht="29.1" customHeight="1">
      <c r="A67" s="48">
        <v>11</v>
      </c>
      <c r="B67" s="48" t="s">
        <v>508</v>
      </c>
      <c r="C67" s="48">
        <v>4</v>
      </c>
      <c r="D67" s="48" t="s">
        <v>9</v>
      </c>
      <c r="E67" s="48" t="s">
        <v>369</v>
      </c>
      <c r="F67" s="48" t="s">
        <v>509</v>
      </c>
    </row>
    <row r="68" spans="1:6" ht="29.1" customHeight="1">
      <c r="A68" s="47">
        <v>15</v>
      </c>
      <c r="B68" s="47" t="s">
        <v>314</v>
      </c>
      <c r="C68" s="47">
        <v>1</v>
      </c>
      <c r="D68" s="47" t="s">
        <v>9</v>
      </c>
      <c r="E68" s="47" t="s">
        <v>422</v>
      </c>
      <c r="F68" s="47" t="s">
        <v>510</v>
      </c>
    </row>
    <row r="69" spans="1:6" ht="29.1" customHeight="1">
      <c r="A69" s="48" t="s">
        <v>511</v>
      </c>
      <c r="B69" s="48" t="s">
        <v>318</v>
      </c>
      <c r="C69" s="48" t="s">
        <v>308</v>
      </c>
      <c r="D69" s="48" t="s">
        <v>9</v>
      </c>
      <c r="E69" s="48" t="s">
        <v>319</v>
      </c>
      <c r="F69" s="48" t="s">
        <v>512</v>
      </c>
    </row>
    <row r="70" spans="1:6" ht="29.1" customHeight="1">
      <c r="A70" s="77" t="s">
        <v>307</v>
      </c>
      <c r="B70" s="77"/>
      <c r="C70" s="49" t="s">
        <v>308</v>
      </c>
      <c r="D70" s="78" t="s">
        <v>1649</v>
      </c>
      <c r="E70" s="78"/>
      <c r="F70" s="78"/>
    </row>
    <row r="71" spans="1:6" ht="29.1" customHeight="1">
      <c r="A71" s="77" t="s">
        <v>310</v>
      </c>
      <c r="B71" s="77"/>
      <c r="C71" s="49" t="s">
        <v>391</v>
      </c>
      <c r="D71" s="78" t="s">
        <v>392</v>
      </c>
      <c r="E71" s="78"/>
      <c r="F71" s="78"/>
    </row>
    <row r="73" spans="1:6" ht="24" customHeight="1">
      <c r="A73" s="85" t="s">
        <v>513</v>
      </c>
      <c r="B73" s="85"/>
      <c r="C73" s="85"/>
      <c r="D73" s="85"/>
      <c r="E73" s="85"/>
      <c r="F73" s="85"/>
    </row>
    <row r="74" spans="1:6" ht="36" customHeight="1">
      <c r="A74" s="76" t="s">
        <v>514</v>
      </c>
      <c r="B74" s="76"/>
      <c r="C74" s="76"/>
      <c r="D74" s="76"/>
      <c r="E74" s="76"/>
      <c r="F74" s="76"/>
    </row>
    <row r="75" spans="1:6" ht="21.95" customHeight="1">
      <c r="A75" s="39" t="s">
        <v>288</v>
      </c>
      <c r="B75" s="39" t="s">
        <v>55</v>
      </c>
      <c r="C75" s="39" t="s">
        <v>289</v>
      </c>
      <c r="D75" s="39" t="s">
        <v>290</v>
      </c>
      <c r="E75" s="39" t="s">
        <v>291</v>
      </c>
      <c r="F75" s="39" t="s">
        <v>5</v>
      </c>
    </row>
    <row r="76" spans="1:6" ht="29.1" customHeight="1">
      <c r="A76" s="47">
        <v>0</v>
      </c>
      <c r="B76" s="47" t="s">
        <v>401</v>
      </c>
      <c r="C76" s="47">
        <v>1</v>
      </c>
      <c r="D76" s="47" t="s">
        <v>9</v>
      </c>
      <c r="E76" s="47" t="s">
        <v>515</v>
      </c>
      <c r="F76" s="47" t="s">
        <v>516</v>
      </c>
    </row>
    <row r="77" spans="1:6" ht="29.1" customHeight="1">
      <c r="A77" s="48">
        <v>1</v>
      </c>
      <c r="B77" s="48" t="s">
        <v>406</v>
      </c>
      <c r="C77" s="48">
        <v>4</v>
      </c>
      <c r="D77" s="48" t="s">
        <v>9</v>
      </c>
      <c r="E77" s="48" t="s">
        <v>369</v>
      </c>
      <c r="F77" s="48" t="s">
        <v>517</v>
      </c>
    </row>
    <row r="78" spans="1:6" ht="29.1" customHeight="1">
      <c r="A78" s="47">
        <v>5</v>
      </c>
      <c r="B78" s="47" t="s">
        <v>483</v>
      </c>
      <c r="C78" s="47">
        <v>16</v>
      </c>
      <c r="D78" s="47" t="s">
        <v>9</v>
      </c>
      <c r="E78" s="47" t="s">
        <v>484</v>
      </c>
      <c r="F78" s="47" t="s">
        <v>518</v>
      </c>
    </row>
    <row r="79" spans="1:6" ht="29.1" customHeight="1">
      <c r="A79" s="77" t="s">
        <v>307</v>
      </c>
      <c r="B79" s="77"/>
      <c r="C79" s="49">
        <f>SUM(C76:C78)</f>
        <v>21</v>
      </c>
      <c r="D79" s="78" t="s">
        <v>352</v>
      </c>
      <c r="E79" s="78"/>
      <c r="F79" s="78"/>
    </row>
    <row r="80" spans="1:6" ht="29.1" customHeight="1">
      <c r="A80" s="77" t="s">
        <v>310</v>
      </c>
      <c r="B80" s="77"/>
      <c r="C80" s="49">
        <f>3+C79</f>
        <v>24</v>
      </c>
      <c r="D80" s="78" t="s">
        <v>312</v>
      </c>
      <c r="E80" s="78"/>
      <c r="F80" s="78"/>
    </row>
    <row r="82" spans="1:6" ht="51" customHeight="1">
      <c r="A82" s="70" t="s">
        <v>409</v>
      </c>
      <c r="B82" s="70"/>
      <c r="C82" s="70"/>
      <c r="D82" s="70"/>
      <c r="E82" s="70"/>
      <c r="F82" s="70"/>
    </row>
  </sheetData>
  <mergeCells count="39">
    <mergeCell ref="A80:B80"/>
    <mergeCell ref="D80:F80"/>
    <mergeCell ref="A82:F82"/>
    <mergeCell ref="A71:B71"/>
    <mergeCell ref="D71:F71"/>
    <mergeCell ref="A73:F73"/>
    <mergeCell ref="A74:F74"/>
    <mergeCell ref="A79:B79"/>
    <mergeCell ref="D79:F79"/>
    <mergeCell ref="A57:B57"/>
    <mergeCell ref="D57:F57"/>
    <mergeCell ref="A59:F59"/>
    <mergeCell ref="A60:F60"/>
    <mergeCell ref="A70:B70"/>
    <mergeCell ref="D70:F70"/>
    <mergeCell ref="A45:B45"/>
    <mergeCell ref="D45:F45"/>
    <mergeCell ref="A47:F47"/>
    <mergeCell ref="A48:F48"/>
    <mergeCell ref="A56:B56"/>
    <mergeCell ref="D56:F56"/>
    <mergeCell ref="A34:B34"/>
    <mergeCell ref="D34:F34"/>
    <mergeCell ref="A36:F36"/>
    <mergeCell ref="A37:F37"/>
    <mergeCell ref="A44:B44"/>
    <mergeCell ref="D44:F44"/>
    <mergeCell ref="A23:B23"/>
    <mergeCell ref="D23:F23"/>
    <mergeCell ref="A25:F25"/>
    <mergeCell ref="A26:F26"/>
    <mergeCell ref="A33:B33"/>
    <mergeCell ref="D33:F33"/>
    <mergeCell ref="A1:F1"/>
    <mergeCell ref="A2:F2"/>
    <mergeCell ref="A4:F4"/>
    <mergeCell ref="A5:F5"/>
    <mergeCell ref="A22:B22"/>
    <mergeCell ref="D22:F2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7"/>
  <sheetViews>
    <sheetView topLeftCell="A11" workbookViewId="0">
      <selection activeCell="H23" sqref="A1:XFD1048576"/>
    </sheetView>
  </sheetViews>
  <sheetFormatPr defaultRowHeight="14.25"/>
  <cols>
    <col min="1" max="1" width="13.375" style="33" customWidth="1"/>
    <col min="2" max="2" width="45.5" style="33" customWidth="1"/>
    <col min="3" max="3" width="10.125" style="33" customWidth="1"/>
    <col min="4" max="4" width="14" style="33" customWidth="1"/>
    <col min="5" max="5" width="34" style="33" customWidth="1"/>
    <col min="6" max="6" width="70" style="33" customWidth="1"/>
    <col min="7" max="16384" width="9" style="33"/>
  </cols>
  <sheetData>
    <row r="1" spans="1:6" ht="33.950000000000003" customHeight="1">
      <c r="A1" s="89" t="s">
        <v>519</v>
      </c>
      <c r="B1" s="71"/>
      <c r="C1" s="71"/>
      <c r="D1" s="71"/>
      <c r="E1" s="71"/>
      <c r="F1" s="71"/>
    </row>
    <row r="2" spans="1:6" ht="21.95" customHeight="1">
      <c r="A2" s="87" t="s">
        <v>520</v>
      </c>
      <c r="B2" s="87"/>
      <c r="C2" s="87"/>
      <c r="D2" s="87"/>
      <c r="E2" s="87"/>
      <c r="F2" s="87"/>
    </row>
    <row r="4" spans="1:6" ht="24" customHeight="1">
      <c r="A4" s="83" t="s">
        <v>521</v>
      </c>
      <c r="B4" s="83"/>
      <c r="C4" s="83"/>
      <c r="D4" s="83"/>
      <c r="E4" s="83"/>
      <c r="F4" s="83"/>
    </row>
    <row r="5" spans="1:6" ht="21" customHeight="1">
      <c r="A5" s="84" t="s">
        <v>522</v>
      </c>
      <c r="B5" s="84"/>
      <c r="C5" s="84"/>
      <c r="D5" s="84"/>
      <c r="E5" s="84"/>
      <c r="F5" s="84"/>
    </row>
    <row r="6" spans="1:6" ht="21.95" customHeight="1">
      <c r="A6" s="34" t="s">
        <v>288</v>
      </c>
      <c r="B6" s="34" t="s">
        <v>55</v>
      </c>
      <c r="C6" s="34" t="s">
        <v>289</v>
      </c>
      <c r="D6" s="34" t="s">
        <v>290</v>
      </c>
      <c r="E6" s="34" t="s">
        <v>291</v>
      </c>
      <c r="F6" s="34" t="s">
        <v>5</v>
      </c>
    </row>
    <row r="7" spans="1:6" ht="29.1" customHeight="1">
      <c r="A7" s="35">
        <v>0</v>
      </c>
      <c r="B7" s="35" t="s">
        <v>523</v>
      </c>
      <c r="C7" s="35">
        <v>1</v>
      </c>
      <c r="D7" s="35" t="s">
        <v>9</v>
      </c>
      <c r="E7" s="35" t="s">
        <v>524</v>
      </c>
      <c r="F7" s="35" t="s">
        <v>525</v>
      </c>
    </row>
    <row r="8" spans="1:6" ht="29.1" customHeight="1">
      <c r="A8" s="36">
        <v>1</v>
      </c>
      <c r="B8" s="36" t="s">
        <v>439</v>
      </c>
      <c r="C8" s="36" t="s">
        <v>526</v>
      </c>
      <c r="D8" s="36">
        <v>36</v>
      </c>
      <c r="E8" s="36" t="s">
        <v>31</v>
      </c>
      <c r="F8" s="36" t="s">
        <v>527</v>
      </c>
    </row>
    <row r="9" spans="1:6" ht="29.1" customHeight="1">
      <c r="A9" s="35" t="s">
        <v>528</v>
      </c>
      <c r="B9" s="35" t="s">
        <v>529</v>
      </c>
      <c r="C9" s="35">
        <v>1</v>
      </c>
      <c r="D9" s="35" t="s">
        <v>9</v>
      </c>
      <c r="E9" s="35" t="s">
        <v>530</v>
      </c>
      <c r="F9" s="35" t="s">
        <v>531</v>
      </c>
    </row>
    <row r="10" spans="1:6" ht="29.1" customHeight="1">
      <c r="A10" s="36" t="s">
        <v>303</v>
      </c>
      <c r="B10" s="36" t="s">
        <v>532</v>
      </c>
      <c r="C10" s="36" t="s">
        <v>533</v>
      </c>
      <c r="D10" s="36">
        <v>30</v>
      </c>
      <c r="E10" s="36" t="s">
        <v>31</v>
      </c>
      <c r="F10" s="36" t="s">
        <v>442</v>
      </c>
    </row>
    <row r="11" spans="1:6" ht="29.1" customHeight="1">
      <c r="A11" s="35" t="s">
        <v>303</v>
      </c>
      <c r="B11" s="35" t="s">
        <v>534</v>
      </c>
      <c r="C11" s="35">
        <v>1</v>
      </c>
      <c r="D11" s="35" t="s">
        <v>9</v>
      </c>
      <c r="E11" s="35" t="s">
        <v>305</v>
      </c>
      <c r="F11" s="37" t="s">
        <v>535</v>
      </c>
    </row>
    <row r="12" spans="1:6" ht="29.1" customHeight="1">
      <c r="A12" s="36" t="s">
        <v>303</v>
      </c>
      <c r="B12" s="36" t="s">
        <v>536</v>
      </c>
      <c r="C12" s="36">
        <v>1</v>
      </c>
      <c r="D12" s="36" t="s">
        <v>9</v>
      </c>
      <c r="E12" s="36" t="s">
        <v>537</v>
      </c>
      <c r="F12" s="36" t="s">
        <v>538</v>
      </c>
    </row>
    <row r="13" spans="1:6" ht="29.1" customHeight="1">
      <c r="A13" s="90" t="s">
        <v>307</v>
      </c>
      <c r="B13" s="91"/>
      <c r="C13" s="38" t="s">
        <v>308</v>
      </c>
      <c r="D13" s="92" t="s">
        <v>1643</v>
      </c>
      <c r="E13" s="93"/>
      <c r="F13" s="94"/>
    </row>
    <row r="15" spans="1:6" ht="30" customHeight="1">
      <c r="A15" s="83" t="s">
        <v>1036</v>
      </c>
      <c r="B15" s="83"/>
      <c r="C15" s="83"/>
      <c r="D15" s="83"/>
      <c r="E15" s="83"/>
      <c r="F15" s="83"/>
    </row>
    <row r="16" spans="1:6" ht="38.1" customHeight="1">
      <c r="A16" s="84" t="s">
        <v>1037</v>
      </c>
      <c r="B16" s="84"/>
      <c r="C16" s="84"/>
      <c r="D16" s="84"/>
      <c r="E16" s="84"/>
      <c r="F16" s="84"/>
    </row>
    <row r="17" spans="1:6" ht="21.95" customHeight="1">
      <c r="A17" s="39" t="s">
        <v>288</v>
      </c>
      <c r="B17" s="39" t="s">
        <v>55</v>
      </c>
      <c r="C17" s="39" t="s">
        <v>289</v>
      </c>
      <c r="D17" s="39" t="s">
        <v>290</v>
      </c>
      <c r="E17" s="39" t="s">
        <v>291</v>
      </c>
      <c r="F17" s="39" t="s">
        <v>5</v>
      </c>
    </row>
    <row r="18" spans="1:6" ht="54" customHeight="1">
      <c r="A18" s="40" t="s">
        <v>1038</v>
      </c>
      <c r="B18" s="40" t="s">
        <v>1039</v>
      </c>
      <c r="C18" s="40" t="s">
        <v>1040</v>
      </c>
      <c r="D18" s="40" t="s">
        <v>1041</v>
      </c>
      <c r="E18" s="40" t="s">
        <v>1042</v>
      </c>
      <c r="F18" s="40" t="s">
        <v>1043</v>
      </c>
    </row>
    <row r="19" spans="1:6" ht="54" customHeight="1">
      <c r="A19" s="41" t="s">
        <v>308</v>
      </c>
      <c r="B19" s="41" t="s">
        <v>1044</v>
      </c>
      <c r="C19" s="41" t="s">
        <v>1045</v>
      </c>
      <c r="D19" s="41" t="s">
        <v>1046</v>
      </c>
      <c r="E19" s="41" t="s">
        <v>1047</v>
      </c>
      <c r="F19" s="41" t="s">
        <v>1048</v>
      </c>
    </row>
    <row r="20" spans="1:6" ht="54" customHeight="1">
      <c r="A20" s="42" t="s">
        <v>308</v>
      </c>
      <c r="B20" s="42" t="s">
        <v>1049</v>
      </c>
      <c r="C20" s="40" t="s">
        <v>1050</v>
      </c>
      <c r="D20" s="43" t="s">
        <v>1051</v>
      </c>
      <c r="E20" s="43" t="s">
        <v>1042</v>
      </c>
      <c r="F20" s="43" t="s">
        <v>1052</v>
      </c>
    </row>
    <row r="21" spans="1:6" ht="42" customHeight="1">
      <c r="A21" s="81" t="s">
        <v>1053</v>
      </c>
      <c r="B21" s="81"/>
      <c r="C21" s="44" t="s">
        <v>308</v>
      </c>
      <c r="D21" s="82" t="s">
        <v>1054</v>
      </c>
      <c r="E21" s="82"/>
      <c r="F21" s="82"/>
    </row>
    <row r="22" spans="1:6" ht="15">
      <c r="A22" s="45"/>
      <c r="B22" s="45"/>
      <c r="C22" s="46"/>
      <c r="D22" s="46"/>
      <c r="E22" s="46"/>
      <c r="F22" s="46"/>
    </row>
    <row r="23" spans="1:6" ht="24" customHeight="1">
      <c r="A23" s="85" t="s">
        <v>539</v>
      </c>
      <c r="B23" s="85"/>
      <c r="C23" s="85"/>
      <c r="D23" s="85"/>
      <c r="E23" s="85"/>
      <c r="F23" s="85"/>
    </row>
    <row r="24" spans="1:6" ht="21" customHeight="1">
      <c r="A24" s="76" t="s">
        <v>540</v>
      </c>
      <c r="B24" s="76"/>
      <c r="C24" s="76"/>
      <c r="D24" s="76"/>
      <c r="E24" s="76"/>
      <c r="F24" s="76"/>
    </row>
    <row r="25" spans="1:6" ht="21.95" customHeight="1">
      <c r="A25" s="39" t="s">
        <v>288</v>
      </c>
      <c r="B25" s="39" t="s">
        <v>55</v>
      </c>
      <c r="C25" s="39" t="s">
        <v>289</v>
      </c>
      <c r="D25" s="39" t="s">
        <v>290</v>
      </c>
      <c r="E25" s="39" t="s">
        <v>291</v>
      </c>
      <c r="F25" s="39" t="s">
        <v>5</v>
      </c>
    </row>
    <row r="26" spans="1:6" ht="29.1" customHeight="1">
      <c r="A26" s="47">
        <v>0</v>
      </c>
      <c r="B26" s="47" t="s">
        <v>129</v>
      </c>
      <c r="C26" s="47" t="s">
        <v>30</v>
      </c>
      <c r="D26" s="47">
        <v>8</v>
      </c>
      <c r="E26" s="47" t="s">
        <v>293</v>
      </c>
      <c r="F26" s="47" t="s">
        <v>541</v>
      </c>
    </row>
    <row r="27" spans="1:6" ht="29.1" customHeight="1">
      <c r="A27" s="48" t="s">
        <v>303</v>
      </c>
      <c r="B27" s="48" t="s">
        <v>532</v>
      </c>
      <c r="C27" s="48" t="s">
        <v>30</v>
      </c>
      <c r="D27" s="48">
        <v>40</v>
      </c>
      <c r="E27" s="48" t="s">
        <v>293</v>
      </c>
      <c r="F27" s="48" t="s">
        <v>542</v>
      </c>
    </row>
    <row r="28" spans="1:6" ht="29.1" customHeight="1">
      <c r="A28" s="47" t="s">
        <v>303</v>
      </c>
      <c r="B28" s="47" t="s">
        <v>543</v>
      </c>
      <c r="C28" s="47" t="s">
        <v>30</v>
      </c>
      <c r="D28" s="47">
        <v>120</v>
      </c>
      <c r="E28" s="47" t="s">
        <v>293</v>
      </c>
      <c r="F28" s="47" t="s">
        <v>544</v>
      </c>
    </row>
    <row r="29" spans="1:6" ht="29.1" customHeight="1">
      <c r="A29" s="48" t="s">
        <v>303</v>
      </c>
      <c r="B29" s="48" t="s">
        <v>545</v>
      </c>
      <c r="C29" s="48">
        <v>1</v>
      </c>
      <c r="D29" s="48" t="s">
        <v>9</v>
      </c>
      <c r="E29" s="48" t="s">
        <v>546</v>
      </c>
      <c r="F29" s="48" t="s">
        <v>547</v>
      </c>
    </row>
    <row r="30" spans="1:6" ht="29.1" customHeight="1">
      <c r="A30" s="47" t="s">
        <v>303</v>
      </c>
      <c r="B30" s="47" t="s">
        <v>548</v>
      </c>
      <c r="C30" s="47" t="s">
        <v>30</v>
      </c>
      <c r="D30" s="47">
        <v>8</v>
      </c>
      <c r="E30" s="47" t="s">
        <v>293</v>
      </c>
      <c r="F30" s="47" t="s">
        <v>549</v>
      </c>
    </row>
    <row r="31" spans="1:6" ht="29.1" customHeight="1">
      <c r="A31" s="48" t="s">
        <v>303</v>
      </c>
      <c r="B31" s="48" t="s">
        <v>550</v>
      </c>
      <c r="C31" s="48" t="s">
        <v>30</v>
      </c>
      <c r="D31" s="48">
        <v>120</v>
      </c>
      <c r="E31" s="48" t="s">
        <v>293</v>
      </c>
      <c r="F31" s="48" t="s">
        <v>551</v>
      </c>
    </row>
    <row r="32" spans="1:6" ht="29.1" customHeight="1">
      <c r="A32" s="77" t="s">
        <v>307</v>
      </c>
      <c r="B32" s="77"/>
      <c r="C32" s="49" t="s">
        <v>308</v>
      </c>
      <c r="D32" s="78" t="s">
        <v>552</v>
      </c>
      <c r="E32" s="78"/>
      <c r="F32" s="78"/>
    </row>
    <row r="34" spans="1:6" ht="24" customHeight="1">
      <c r="A34" s="85" t="s">
        <v>553</v>
      </c>
      <c r="B34" s="85"/>
      <c r="C34" s="85"/>
      <c r="D34" s="85"/>
      <c r="E34" s="85"/>
      <c r="F34" s="85"/>
    </row>
    <row r="35" spans="1:6" ht="21" customHeight="1">
      <c r="A35" s="76" t="s">
        <v>554</v>
      </c>
      <c r="B35" s="76"/>
      <c r="C35" s="76"/>
      <c r="D35" s="76"/>
      <c r="E35" s="76"/>
      <c r="F35" s="76"/>
    </row>
    <row r="36" spans="1:6" ht="21.95" customHeight="1">
      <c r="A36" s="39" t="s">
        <v>288</v>
      </c>
      <c r="B36" s="39" t="s">
        <v>55</v>
      </c>
      <c r="C36" s="39" t="s">
        <v>289</v>
      </c>
      <c r="D36" s="39" t="s">
        <v>290</v>
      </c>
      <c r="E36" s="39" t="s">
        <v>291</v>
      </c>
      <c r="F36" s="39" t="s">
        <v>5</v>
      </c>
    </row>
    <row r="37" spans="1:6" ht="29.1" customHeight="1">
      <c r="A37" s="35">
        <v>0</v>
      </c>
      <c r="B37" s="35" t="s">
        <v>523</v>
      </c>
      <c r="C37" s="35">
        <v>1</v>
      </c>
      <c r="D37" s="35" t="s">
        <v>9</v>
      </c>
      <c r="E37" s="35" t="s">
        <v>524</v>
      </c>
      <c r="F37" s="35" t="s">
        <v>525</v>
      </c>
    </row>
    <row r="38" spans="1:6" ht="29.1" customHeight="1">
      <c r="A38" s="36">
        <v>1</v>
      </c>
      <c r="B38" s="36" t="s">
        <v>439</v>
      </c>
      <c r="C38" s="36" t="s">
        <v>526</v>
      </c>
      <c r="D38" s="36">
        <v>36</v>
      </c>
      <c r="E38" s="36" t="s">
        <v>31</v>
      </c>
      <c r="F38" s="36" t="s">
        <v>527</v>
      </c>
    </row>
    <row r="39" spans="1:6" ht="29.1" customHeight="1">
      <c r="A39" s="35" t="s">
        <v>528</v>
      </c>
      <c r="B39" s="35" t="s">
        <v>529</v>
      </c>
      <c r="C39" s="35">
        <v>1</v>
      </c>
      <c r="D39" s="35" t="s">
        <v>9</v>
      </c>
      <c r="E39" s="35" t="s">
        <v>530</v>
      </c>
      <c r="F39" s="35" t="s">
        <v>531</v>
      </c>
    </row>
    <row r="40" spans="1:6" ht="29.1" customHeight="1">
      <c r="A40" s="36" t="s">
        <v>303</v>
      </c>
      <c r="B40" s="36" t="s">
        <v>532</v>
      </c>
      <c r="C40" s="36" t="s">
        <v>533</v>
      </c>
      <c r="D40" s="36">
        <v>30</v>
      </c>
      <c r="E40" s="36" t="s">
        <v>31</v>
      </c>
      <c r="F40" s="36" t="s">
        <v>442</v>
      </c>
    </row>
    <row r="41" spans="1:6" ht="29.1" customHeight="1">
      <c r="A41" s="35" t="s">
        <v>303</v>
      </c>
      <c r="B41" s="35" t="s">
        <v>534</v>
      </c>
      <c r="C41" s="35">
        <v>1</v>
      </c>
      <c r="D41" s="35" t="s">
        <v>9</v>
      </c>
      <c r="E41" s="35" t="s">
        <v>305</v>
      </c>
      <c r="F41" s="37" t="s">
        <v>535</v>
      </c>
    </row>
    <row r="42" spans="1:6" ht="29.1" customHeight="1">
      <c r="A42" s="36" t="s">
        <v>303</v>
      </c>
      <c r="B42" s="36" t="s">
        <v>536</v>
      </c>
      <c r="C42" s="36">
        <v>1</v>
      </c>
      <c r="D42" s="36" t="s">
        <v>9</v>
      </c>
      <c r="E42" s="36" t="s">
        <v>537</v>
      </c>
      <c r="F42" s="36" t="s">
        <v>538</v>
      </c>
    </row>
    <row r="43" spans="1:6" ht="29.1" customHeight="1">
      <c r="A43" s="90" t="s">
        <v>307</v>
      </c>
      <c r="B43" s="91"/>
      <c r="C43" s="38" t="s">
        <v>308</v>
      </c>
      <c r="D43" s="92" t="s">
        <v>1643</v>
      </c>
      <c r="E43" s="93"/>
      <c r="F43" s="94"/>
    </row>
    <row r="45" spans="1:6" ht="24" customHeight="1">
      <c r="A45" s="85" t="s">
        <v>1644</v>
      </c>
      <c r="B45" s="85"/>
      <c r="C45" s="85"/>
      <c r="D45" s="85"/>
      <c r="E45" s="85"/>
      <c r="F45" s="85"/>
    </row>
    <row r="46" spans="1:6" ht="21" customHeight="1">
      <c r="A46" s="76" t="s">
        <v>555</v>
      </c>
      <c r="B46" s="76"/>
      <c r="C46" s="76"/>
      <c r="D46" s="76"/>
      <c r="E46" s="76"/>
      <c r="F46" s="76"/>
    </row>
    <row r="47" spans="1:6" ht="21.95" customHeight="1">
      <c r="A47" s="39" t="s">
        <v>288</v>
      </c>
      <c r="B47" s="39" t="s">
        <v>55</v>
      </c>
      <c r="C47" s="39" t="s">
        <v>289</v>
      </c>
      <c r="D47" s="39" t="s">
        <v>290</v>
      </c>
      <c r="E47" s="39" t="s">
        <v>291</v>
      </c>
      <c r="F47" s="39" t="s">
        <v>5</v>
      </c>
    </row>
    <row r="48" spans="1:6" ht="29.1" customHeight="1">
      <c r="A48" s="47">
        <v>0</v>
      </c>
      <c r="B48" s="47" t="s">
        <v>556</v>
      </c>
      <c r="C48" s="47">
        <v>1</v>
      </c>
      <c r="D48" s="47" t="s">
        <v>9</v>
      </c>
      <c r="E48" s="47" t="s">
        <v>557</v>
      </c>
      <c r="F48" s="47" t="s">
        <v>558</v>
      </c>
    </row>
    <row r="49" spans="1:6" ht="29.1" customHeight="1">
      <c r="A49" s="48">
        <v>1</v>
      </c>
      <c r="B49" s="48" t="s">
        <v>559</v>
      </c>
      <c r="C49" s="48">
        <v>1</v>
      </c>
      <c r="D49" s="48" t="s">
        <v>9</v>
      </c>
      <c r="E49" s="48" t="s">
        <v>557</v>
      </c>
      <c r="F49" s="48" t="s">
        <v>560</v>
      </c>
    </row>
    <row r="50" spans="1:6" ht="29.1" customHeight="1">
      <c r="A50" s="47">
        <v>2</v>
      </c>
      <c r="B50" s="47" t="s">
        <v>561</v>
      </c>
      <c r="C50" s="47">
        <v>2</v>
      </c>
      <c r="D50" s="47" t="s">
        <v>9</v>
      </c>
      <c r="E50" s="47" t="s">
        <v>562</v>
      </c>
      <c r="F50" s="47" t="s">
        <v>563</v>
      </c>
    </row>
    <row r="51" spans="1:6" ht="29.1" customHeight="1">
      <c r="A51" s="48">
        <v>4</v>
      </c>
      <c r="B51" s="48" t="s">
        <v>564</v>
      </c>
      <c r="C51" s="48">
        <v>2</v>
      </c>
      <c r="D51" s="48" t="s">
        <v>9</v>
      </c>
      <c r="E51" s="48" t="s">
        <v>562</v>
      </c>
      <c r="F51" s="48" t="s">
        <v>565</v>
      </c>
    </row>
    <row r="52" spans="1:6" ht="29.1" customHeight="1">
      <c r="A52" s="47">
        <v>6</v>
      </c>
      <c r="B52" s="47" t="s">
        <v>566</v>
      </c>
      <c r="C52" s="47">
        <v>1</v>
      </c>
      <c r="D52" s="47" t="s">
        <v>9</v>
      </c>
      <c r="E52" s="47" t="s">
        <v>557</v>
      </c>
      <c r="F52" s="47" t="s">
        <v>567</v>
      </c>
    </row>
    <row r="53" spans="1:6" ht="29.1" customHeight="1">
      <c r="A53" s="48">
        <v>7</v>
      </c>
      <c r="B53" s="48" t="s">
        <v>568</v>
      </c>
      <c r="C53" s="48">
        <v>2</v>
      </c>
      <c r="D53" s="48" t="s">
        <v>9</v>
      </c>
      <c r="E53" s="48" t="s">
        <v>562</v>
      </c>
      <c r="F53" s="48" t="s">
        <v>569</v>
      </c>
    </row>
    <row r="54" spans="1:6" ht="29.1" customHeight="1">
      <c r="A54" s="47">
        <v>9</v>
      </c>
      <c r="B54" s="47" t="s">
        <v>570</v>
      </c>
      <c r="C54" s="47">
        <v>1</v>
      </c>
      <c r="D54" s="47" t="s">
        <v>9</v>
      </c>
      <c r="E54" s="47" t="s">
        <v>557</v>
      </c>
      <c r="F54" s="47" t="s">
        <v>571</v>
      </c>
    </row>
    <row r="55" spans="1:6" ht="29.1" customHeight="1">
      <c r="A55" s="77" t="s">
        <v>572</v>
      </c>
      <c r="B55" s="77"/>
      <c r="C55" s="49">
        <f>SUM(C48:C54)</f>
        <v>10</v>
      </c>
      <c r="D55" s="78" t="s">
        <v>352</v>
      </c>
      <c r="E55" s="78"/>
      <c r="F55" s="78"/>
    </row>
    <row r="57" spans="1:6" ht="24" customHeight="1">
      <c r="A57" s="85" t="s">
        <v>1645</v>
      </c>
      <c r="B57" s="85"/>
      <c r="C57" s="85"/>
      <c r="D57" s="85"/>
      <c r="E57" s="85"/>
      <c r="F57" s="85"/>
    </row>
    <row r="58" spans="1:6" ht="36" customHeight="1">
      <c r="A58" s="76" t="s">
        <v>573</v>
      </c>
      <c r="B58" s="76"/>
      <c r="C58" s="76"/>
      <c r="D58" s="76"/>
      <c r="E58" s="76"/>
      <c r="F58" s="76"/>
    </row>
    <row r="59" spans="1:6" ht="21.95" customHeight="1">
      <c r="A59" s="39" t="s">
        <v>288</v>
      </c>
      <c r="B59" s="39" t="s">
        <v>55</v>
      </c>
      <c r="C59" s="39" t="s">
        <v>289</v>
      </c>
      <c r="D59" s="39" t="s">
        <v>290</v>
      </c>
      <c r="E59" s="39" t="s">
        <v>291</v>
      </c>
      <c r="F59" s="39" t="s">
        <v>5</v>
      </c>
    </row>
    <row r="60" spans="1:6" ht="29.1" customHeight="1">
      <c r="A60" s="47">
        <v>0</v>
      </c>
      <c r="B60" s="47" t="s">
        <v>523</v>
      </c>
      <c r="C60" s="47">
        <v>1</v>
      </c>
      <c r="D60" s="47" t="s">
        <v>9</v>
      </c>
      <c r="E60" s="47" t="s">
        <v>524</v>
      </c>
      <c r="F60" s="47" t="s">
        <v>525</v>
      </c>
    </row>
    <row r="61" spans="1:6" ht="29.1" customHeight="1">
      <c r="A61" s="48">
        <v>1</v>
      </c>
      <c r="B61" s="48" t="s">
        <v>439</v>
      </c>
      <c r="C61" s="48" t="s">
        <v>526</v>
      </c>
      <c r="D61" s="48">
        <v>36</v>
      </c>
      <c r="E61" s="48" t="s">
        <v>31</v>
      </c>
      <c r="F61" s="48" t="s">
        <v>527</v>
      </c>
    </row>
    <row r="62" spans="1:6" ht="29.1" customHeight="1">
      <c r="A62" s="47" t="s">
        <v>528</v>
      </c>
      <c r="B62" s="47" t="s">
        <v>529</v>
      </c>
      <c r="C62" s="47">
        <v>1</v>
      </c>
      <c r="D62" s="47" t="s">
        <v>9</v>
      </c>
      <c r="E62" s="47" t="s">
        <v>530</v>
      </c>
      <c r="F62" s="47" t="s">
        <v>531</v>
      </c>
    </row>
    <row r="63" spans="1:6" ht="29.1" customHeight="1">
      <c r="A63" s="48" t="s">
        <v>303</v>
      </c>
      <c r="B63" s="48" t="s">
        <v>532</v>
      </c>
      <c r="C63" s="48" t="s">
        <v>533</v>
      </c>
      <c r="D63" s="48">
        <v>30</v>
      </c>
      <c r="E63" s="48" t="s">
        <v>31</v>
      </c>
      <c r="F63" s="48" t="s">
        <v>442</v>
      </c>
    </row>
    <row r="64" spans="1:6" ht="29.1" customHeight="1">
      <c r="A64" s="47" t="s">
        <v>303</v>
      </c>
      <c r="B64" s="47" t="s">
        <v>534</v>
      </c>
      <c r="C64" s="47">
        <v>1</v>
      </c>
      <c r="D64" s="47" t="s">
        <v>9</v>
      </c>
      <c r="E64" s="47" t="s">
        <v>305</v>
      </c>
      <c r="F64" s="47" t="s">
        <v>574</v>
      </c>
    </row>
    <row r="65" spans="1:6" ht="29.1" customHeight="1">
      <c r="A65" s="48" t="s">
        <v>303</v>
      </c>
      <c r="B65" s="48" t="s">
        <v>536</v>
      </c>
      <c r="C65" s="48">
        <v>1</v>
      </c>
      <c r="D65" s="48" t="s">
        <v>9</v>
      </c>
      <c r="E65" s="48" t="s">
        <v>537</v>
      </c>
      <c r="F65" s="48" t="s">
        <v>538</v>
      </c>
    </row>
    <row r="66" spans="1:6" ht="29.1" customHeight="1">
      <c r="A66" s="77" t="s">
        <v>307</v>
      </c>
      <c r="B66" s="77"/>
      <c r="C66" s="49" t="s">
        <v>308</v>
      </c>
      <c r="D66" s="78" t="s">
        <v>1643</v>
      </c>
      <c r="E66" s="78"/>
      <c r="F66" s="78"/>
    </row>
    <row r="68" spans="1:6" ht="24" customHeight="1">
      <c r="A68" s="85" t="s">
        <v>575</v>
      </c>
      <c r="B68" s="85"/>
      <c r="C68" s="85"/>
      <c r="D68" s="85"/>
      <c r="E68" s="85"/>
      <c r="F68" s="85"/>
    </row>
    <row r="69" spans="1:6" ht="21" customHeight="1">
      <c r="A69" s="76" t="s">
        <v>576</v>
      </c>
      <c r="B69" s="76"/>
      <c r="C69" s="76"/>
      <c r="D69" s="76"/>
      <c r="E69" s="76"/>
      <c r="F69" s="76"/>
    </row>
    <row r="70" spans="1:6" ht="21.95" customHeight="1">
      <c r="A70" s="39" t="s">
        <v>288</v>
      </c>
      <c r="B70" s="39" t="s">
        <v>55</v>
      </c>
      <c r="C70" s="39" t="s">
        <v>289</v>
      </c>
      <c r="D70" s="39" t="s">
        <v>290</v>
      </c>
      <c r="E70" s="39" t="s">
        <v>291</v>
      </c>
      <c r="F70" s="39" t="s">
        <v>5</v>
      </c>
    </row>
    <row r="71" spans="1:6" ht="29.1" customHeight="1">
      <c r="A71" s="47">
        <v>0</v>
      </c>
      <c r="B71" s="47" t="s">
        <v>577</v>
      </c>
      <c r="C71" s="47">
        <v>1</v>
      </c>
      <c r="D71" s="47" t="s">
        <v>9</v>
      </c>
      <c r="E71" s="47" t="s">
        <v>384</v>
      </c>
      <c r="F71" s="47" t="s">
        <v>578</v>
      </c>
    </row>
    <row r="72" spans="1:6" ht="29.1" customHeight="1">
      <c r="A72" s="48" t="s">
        <v>317</v>
      </c>
      <c r="B72" s="48" t="s">
        <v>579</v>
      </c>
      <c r="C72" s="48" t="s">
        <v>308</v>
      </c>
      <c r="D72" s="48" t="s">
        <v>9</v>
      </c>
      <c r="E72" s="48" t="s">
        <v>580</v>
      </c>
      <c r="F72" s="48" t="s">
        <v>581</v>
      </c>
    </row>
    <row r="73" spans="1:6" ht="29.1" customHeight="1">
      <c r="A73" s="77" t="s">
        <v>307</v>
      </c>
      <c r="B73" s="77"/>
      <c r="C73" s="49" t="s">
        <v>308</v>
      </c>
      <c r="D73" s="78" t="s">
        <v>582</v>
      </c>
      <c r="E73" s="78"/>
      <c r="F73" s="78"/>
    </row>
    <row r="75" spans="1:6" ht="24" customHeight="1">
      <c r="A75" s="69" t="s">
        <v>583</v>
      </c>
      <c r="B75" s="69"/>
      <c r="C75" s="69"/>
      <c r="D75" s="69"/>
      <c r="E75" s="69"/>
      <c r="F75" s="69"/>
    </row>
    <row r="76" spans="1:6" ht="21.95" customHeight="1">
      <c r="A76" s="39" t="s">
        <v>584</v>
      </c>
      <c r="B76" s="39" t="s">
        <v>585</v>
      </c>
      <c r="C76" s="39" t="s">
        <v>586</v>
      </c>
      <c r="D76" s="39"/>
      <c r="E76" s="39"/>
      <c r="F76" s="39"/>
    </row>
    <row r="77" spans="1:6" ht="29.1" customHeight="1">
      <c r="A77" s="47" t="s">
        <v>587</v>
      </c>
      <c r="B77" s="47" t="s">
        <v>588</v>
      </c>
      <c r="C77" s="47" t="s">
        <v>45</v>
      </c>
      <c r="D77" s="47"/>
      <c r="E77" s="47"/>
      <c r="F77" s="47"/>
    </row>
    <row r="78" spans="1:6" ht="29.1" customHeight="1">
      <c r="A78" s="48" t="s">
        <v>589</v>
      </c>
      <c r="B78" s="48" t="s">
        <v>590</v>
      </c>
      <c r="C78" s="48" t="s">
        <v>591</v>
      </c>
      <c r="D78" s="48"/>
      <c r="E78" s="48"/>
      <c r="F78" s="48"/>
    </row>
    <row r="79" spans="1:6" ht="29.1" customHeight="1">
      <c r="A79" s="47" t="s">
        <v>167</v>
      </c>
      <c r="B79" s="47" t="s">
        <v>592</v>
      </c>
      <c r="C79" s="47" t="s">
        <v>591</v>
      </c>
      <c r="D79" s="47"/>
      <c r="E79" s="47"/>
      <c r="F79" s="47"/>
    </row>
    <row r="80" spans="1:6" ht="29.1" customHeight="1">
      <c r="A80" s="48" t="s">
        <v>278</v>
      </c>
      <c r="B80" s="48" t="s">
        <v>590</v>
      </c>
      <c r="C80" s="48" t="s">
        <v>591</v>
      </c>
      <c r="D80" s="48"/>
      <c r="E80" s="48"/>
      <c r="F80" s="48"/>
    </row>
    <row r="81" spans="1:6" ht="29.1" customHeight="1">
      <c r="A81" s="47" t="s">
        <v>593</v>
      </c>
      <c r="B81" s="47" t="s">
        <v>594</v>
      </c>
      <c r="C81" s="47" t="s">
        <v>595</v>
      </c>
      <c r="D81" s="47"/>
      <c r="E81" s="47"/>
      <c r="F81" s="47"/>
    </row>
    <row r="82" spans="1:6" ht="29.1" customHeight="1">
      <c r="A82" s="48" t="s">
        <v>132</v>
      </c>
      <c r="B82" s="48" t="s">
        <v>596</v>
      </c>
      <c r="C82" s="48" t="s">
        <v>597</v>
      </c>
      <c r="D82" s="48"/>
      <c r="E82" s="48"/>
      <c r="F82" s="48"/>
    </row>
    <row r="83" spans="1:6" ht="29.1" customHeight="1">
      <c r="A83" s="47" t="s">
        <v>598</v>
      </c>
      <c r="B83" s="47" t="s">
        <v>599</v>
      </c>
      <c r="C83" s="47" t="s">
        <v>600</v>
      </c>
      <c r="D83" s="47"/>
      <c r="E83" s="47"/>
      <c r="F83" s="47"/>
    </row>
    <row r="84" spans="1:6" ht="29.1" customHeight="1">
      <c r="A84" s="48" t="s">
        <v>601</v>
      </c>
      <c r="B84" s="48" t="s">
        <v>602</v>
      </c>
      <c r="C84" s="48" t="s">
        <v>603</v>
      </c>
      <c r="D84" s="48"/>
      <c r="E84" s="48"/>
      <c r="F84" s="48"/>
    </row>
    <row r="85" spans="1:6" ht="29.1" customHeight="1">
      <c r="A85" s="47" t="s">
        <v>604</v>
      </c>
      <c r="B85" s="47" t="s">
        <v>605</v>
      </c>
      <c r="C85" s="47" t="s">
        <v>395</v>
      </c>
      <c r="D85" s="47"/>
      <c r="E85" s="47"/>
      <c r="F85" s="47"/>
    </row>
    <row r="87" spans="1:6" ht="51" customHeight="1">
      <c r="A87" s="70" t="s">
        <v>409</v>
      </c>
      <c r="B87" s="70"/>
      <c r="C87" s="70"/>
      <c r="D87" s="70"/>
      <c r="E87" s="70"/>
      <c r="F87" s="70"/>
    </row>
  </sheetData>
  <mergeCells count="32">
    <mergeCell ref="A69:F69"/>
    <mergeCell ref="A73:B73"/>
    <mergeCell ref="D73:F73"/>
    <mergeCell ref="A75:F75"/>
    <mergeCell ref="A87:F87"/>
    <mergeCell ref="A57:F57"/>
    <mergeCell ref="A58:F58"/>
    <mergeCell ref="A66:B66"/>
    <mergeCell ref="D66:F66"/>
    <mergeCell ref="A68:F68"/>
    <mergeCell ref="A43:B43"/>
    <mergeCell ref="D43:F43"/>
    <mergeCell ref="A45:F45"/>
    <mergeCell ref="A46:F46"/>
    <mergeCell ref="A55:B55"/>
    <mergeCell ref="D55:F55"/>
    <mergeCell ref="A24:F24"/>
    <mergeCell ref="A32:B32"/>
    <mergeCell ref="D32:F32"/>
    <mergeCell ref="A34:F34"/>
    <mergeCell ref="A35:F35"/>
    <mergeCell ref="A15:F15"/>
    <mergeCell ref="A16:F16"/>
    <mergeCell ref="A23:F23"/>
    <mergeCell ref="A1:F1"/>
    <mergeCell ref="A2:F2"/>
    <mergeCell ref="A4:F4"/>
    <mergeCell ref="A5:F5"/>
    <mergeCell ref="A13:B13"/>
    <mergeCell ref="D13:F13"/>
    <mergeCell ref="A21:B21"/>
    <mergeCell ref="D21:F21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9"/>
  <sheetViews>
    <sheetView workbookViewId="0">
      <selection sqref="A1:XFD1048576"/>
    </sheetView>
  </sheetViews>
  <sheetFormatPr defaultRowHeight="14.25"/>
  <cols>
    <col min="1" max="1" width="10" style="24" customWidth="1"/>
    <col min="2" max="2" width="29.25" style="24" customWidth="1"/>
    <col min="3" max="3" width="19.5" style="24" customWidth="1"/>
    <col min="4" max="4" width="13" style="24" customWidth="1"/>
    <col min="5" max="5" width="34" style="24" customWidth="1"/>
    <col min="6" max="6" width="72" style="24" customWidth="1"/>
    <col min="7" max="16384" width="9" style="24"/>
  </cols>
  <sheetData>
    <row r="1" spans="1:6" ht="33.950000000000003" customHeight="1">
      <c r="A1" s="71" t="s">
        <v>1589</v>
      </c>
      <c r="B1" s="71"/>
      <c r="C1" s="71"/>
      <c r="D1" s="71"/>
      <c r="E1" s="71"/>
      <c r="F1" s="71"/>
    </row>
    <row r="2" spans="1:6" ht="21.95" customHeight="1">
      <c r="A2" s="95" t="s">
        <v>1529</v>
      </c>
      <c r="B2" s="95"/>
      <c r="C2" s="95"/>
      <c r="D2" s="95"/>
      <c r="E2" s="95"/>
      <c r="F2" s="95"/>
    </row>
    <row r="4" spans="1:6" ht="24" customHeight="1">
      <c r="A4" s="96" t="s">
        <v>1590</v>
      </c>
      <c r="B4" s="96"/>
      <c r="C4" s="96"/>
      <c r="D4" s="96"/>
      <c r="E4" s="96"/>
      <c r="F4" s="96"/>
    </row>
    <row r="5" spans="1:6" ht="36" customHeight="1">
      <c r="A5" s="97" t="s">
        <v>1591</v>
      </c>
      <c r="B5" s="97"/>
      <c r="C5" s="97"/>
      <c r="D5" s="97"/>
      <c r="E5" s="97"/>
      <c r="F5" s="97"/>
    </row>
    <row r="6" spans="1:6" ht="21.95" customHeight="1">
      <c r="A6" s="25" t="s">
        <v>1532</v>
      </c>
      <c r="B6" s="25" t="s">
        <v>1533</v>
      </c>
      <c r="C6" s="25" t="s">
        <v>1534</v>
      </c>
      <c r="D6" s="25" t="s">
        <v>1535</v>
      </c>
      <c r="E6" s="25" t="s">
        <v>1536</v>
      </c>
      <c r="F6" s="25" t="s">
        <v>1537</v>
      </c>
    </row>
    <row r="7" spans="1:6" ht="21.75" customHeight="1">
      <c r="A7" s="26">
        <v>0</v>
      </c>
      <c r="B7" s="26" t="s">
        <v>606</v>
      </c>
      <c r="C7" s="26">
        <v>0</v>
      </c>
      <c r="D7" s="26" t="s">
        <v>9</v>
      </c>
      <c r="E7" s="26" t="s">
        <v>1592</v>
      </c>
      <c r="F7" s="26" t="s">
        <v>1593</v>
      </c>
    </row>
    <row r="8" spans="1:6" ht="21.75" customHeight="1">
      <c r="A8" s="27">
        <v>0</v>
      </c>
      <c r="B8" s="27" t="s">
        <v>607</v>
      </c>
      <c r="C8" s="27">
        <v>0</v>
      </c>
      <c r="D8" s="27" t="s">
        <v>9</v>
      </c>
      <c r="E8" s="27" t="s">
        <v>1592</v>
      </c>
      <c r="F8" s="27" t="s">
        <v>1594</v>
      </c>
    </row>
    <row r="9" spans="1:6" ht="21.75" customHeight="1">
      <c r="A9" s="26">
        <v>0</v>
      </c>
      <c r="B9" s="26" t="s">
        <v>608</v>
      </c>
      <c r="C9" s="26">
        <v>0</v>
      </c>
      <c r="D9" s="26" t="s">
        <v>9</v>
      </c>
      <c r="E9" s="26" t="s">
        <v>1592</v>
      </c>
      <c r="F9" s="26" t="s">
        <v>1595</v>
      </c>
    </row>
    <row r="10" spans="1:6" ht="21.75" customHeight="1">
      <c r="A10" s="27">
        <v>0</v>
      </c>
      <c r="B10" s="27" t="s">
        <v>609</v>
      </c>
      <c r="C10" s="27">
        <v>0</v>
      </c>
      <c r="D10" s="27" t="s">
        <v>9</v>
      </c>
      <c r="E10" s="27" t="s">
        <v>1592</v>
      </c>
      <c r="F10" s="27" t="s">
        <v>1596</v>
      </c>
    </row>
    <row r="11" spans="1:6" ht="21.75" customHeight="1">
      <c r="A11" s="26">
        <v>0</v>
      </c>
      <c r="B11" s="26" t="s">
        <v>610</v>
      </c>
      <c r="C11" s="26">
        <v>0</v>
      </c>
      <c r="D11" s="26" t="s">
        <v>9</v>
      </c>
      <c r="E11" s="26" t="s">
        <v>1592</v>
      </c>
      <c r="F11" s="26" t="s">
        <v>1597</v>
      </c>
    </row>
    <row r="12" spans="1:6" ht="21.75" customHeight="1">
      <c r="A12" s="27">
        <v>0</v>
      </c>
      <c r="B12" s="27" t="s">
        <v>611</v>
      </c>
      <c r="C12" s="27">
        <v>0</v>
      </c>
      <c r="D12" s="27" t="s">
        <v>9</v>
      </c>
      <c r="E12" s="27" t="s">
        <v>1592</v>
      </c>
      <c r="F12" s="27" t="s">
        <v>1598</v>
      </c>
    </row>
    <row r="13" spans="1:6" ht="29.1" customHeight="1">
      <c r="A13" s="98" t="s">
        <v>1543</v>
      </c>
      <c r="B13" s="98"/>
      <c r="C13" s="32">
        <f>SUM(C7:C12)</f>
        <v>0</v>
      </c>
      <c r="D13" s="99" t="s">
        <v>1552</v>
      </c>
      <c r="E13" s="99"/>
      <c r="F13" s="99"/>
    </row>
    <row r="14" spans="1:6" ht="29.1" customHeight="1">
      <c r="A14" s="98" t="s">
        <v>1544</v>
      </c>
      <c r="B14" s="98"/>
      <c r="C14" s="32">
        <f>2+C13</f>
        <v>2</v>
      </c>
      <c r="D14" s="99" t="s">
        <v>1546</v>
      </c>
      <c r="E14" s="99"/>
      <c r="F14" s="99"/>
    </row>
    <row r="16" spans="1:6" ht="24" customHeight="1">
      <c r="A16" s="100" t="s">
        <v>1599</v>
      </c>
      <c r="B16" s="100"/>
      <c r="C16" s="100"/>
      <c r="D16" s="100"/>
      <c r="E16" s="100"/>
      <c r="F16" s="100"/>
    </row>
    <row r="17" spans="1:6" ht="36" customHeight="1">
      <c r="A17" s="101" t="s">
        <v>1600</v>
      </c>
      <c r="B17" s="101"/>
      <c r="C17" s="101"/>
      <c r="D17" s="101"/>
      <c r="E17" s="101"/>
      <c r="F17" s="101"/>
    </row>
    <row r="18" spans="1:6" ht="21.95" customHeight="1">
      <c r="A18" s="28" t="s">
        <v>1532</v>
      </c>
      <c r="B18" s="28" t="s">
        <v>1533</v>
      </c>
      <c r="C18" s="28" t="s">
        <v>1534</v>
      </c>
      <c r="D18" s="28" t="s">
        <v>1535</v>
      </c>
      <c r="E18" s="28" t="s">
        <v>1536</v>
      </c>
      <c r="F18" s="28" t="s">
        <v>1537</v>
      </c>
    </row>
    <row r="19" spans="1:6" ht="29.1" customHeight="1">
      <c r="A19" s="29" t="s">
        <v>612</v>
      </c>
      <c r="B19" s="29" t="s">
        <v>613</v>
      </c>
      <c r="C19" s="29" t="s">
        <v>614</v>
      </c>
      <c r="D19" s="29" t="s">
        <v>9</v>
      </c>
      <c r="E19" s="29" t="s">
        <v>615</v>
      </c>
      <c r="F19" s="29" t="s">
        <v>1601</v>
      </c>
    </row>
    <row r="20" spans="1:6" ht="29.1" customHeight="1">
      <c r="A20" s="30" t="s">
        <v>616</v>
      </c>
      <c r="B20" s="30" t="s">
        <v>439</v>
      </c>
      <c r="C20" s="30" t="s">
        <v>30</v>
      </c>
      <c r="D20" s="30" t="s">
        <v>1258</v>
      </c>
      <c r="E20" s="30" t="s">
        <v>617</v>
      </c>
      <c r="F20" s="30" t="s">
        <v>1602</v>
      </c>
    </row>
    <row r="21" spans="1:6" ht="29.1" customHeight="1">
      <c r="A21" s="29" t="s">
        <v>618</v>
      </c>
      <c r="B21" s="29" t="s">
        <v>619</v>
      </c>
      <c r="C21" s="29" t="s">
        <v>458</v>
      </c>
      <c r="D21" s="29" t="s">
        <v>9</v>
      </c>
      <c r="E21" s="29" t="s">
        <v>620</v>
      </c>
      <c r="F21" s="29" t="s">
        <v>1603</v>
      </c>
    </row>
    <row r="22" spans="1:6" ht="29.1" customHeight="1">
      <c r="A22" s="102" t="s">
        <v>1543</v>
      </c>
      <c r="B22" s="102"/>
      <c r="C22" s="31" t="s">
        <v>621</v>
      </c>
      <c r="D22" s="103" t="s">
        <v>622</v>
      </c>
      <c r="E22" s="103"/>
      <c r="F22" s="103"/>
    </row>
    <row r="23" spans="1:6" ht="29.1" customHeight="1">
      <c r="A23" s="102" t="s">
        <v>1544</v>
      </c>
      <c r="B23" s="102"/>
      <c r="C23" s="31" t="s">
        <v>1545</v>
      </c>
      <c r="D23" s="103" t="s">
        <v>1546</v>
      </c>
      <c r="E23" s="103"/>
      <c r="F23" s="103"/>
    </row>
    <row r="25" spans="1:6" ht="24" customHeight="1">
      <c r="A25" s="96" t="s">
        <v>1604</v>
      </c>
      <c r="B25" s="96"/>
      <c r="C25" s="96"/>
      <c r="D25" s="96"/>
      <c r="E25" s="96"/>
      <c r="F25" s="96"/>
    </row>
    <row r="26" spans="1:6" ht="36" customHeight="1">
      <c r="A26" s="97" t="s">
        <v>1605</v>
      </c>
      <c r="B26" s="97"/>
      <c r="C26" s="97"/>
      <c r="D26" s="97"/>
      <c r="E26" s="97"/>
      <c r="F26" s="97"/>
    </row>
    <row r="27" spans="1:6" ht="21.95" customHeight="1">
      <c r="A27" s="25" t="s">
        <v>1532</v>
      </c>
      <c r="B27" s="25" t="s">
        <v>1533</v>
      </c>
      <c r="C27" s="25" t="s">
        <v>1534</v>
      </c>
      <c r="D27" s="25" t="s">
        <v>1535</v>
      </c>
      <c r="E27" s="25" t="s">
        <v>1536</v>
      </c>
      <c r="F27" s="25" t="s">
        <v>1537</v>
      </c>
    </row>
    <row r="28" spans="1:6" ht="29.1" customHeight="1">
      <c r="A28" s="26">
        <v>0</v>
      </c>
      <c r="B28" s="26" t="s">
        <v>41</v>
      </c>
      <c r="C28" s="26">
        <v>1</v>
      </c>
      <c r="D28" s="26" t="s">
        <v>9</v>
      </c>
      <c r="E28" s="26" t="s">
        <v>384</v>
      </c>
      <c r="F28" s="26" t="s">
        <v>1606</v>
      </c>
    </row>
    <row r="29" spans="1:6" ht="29.1" customHeight="1">
      <c r="A29" s="27">
        <v>1</v>
      </c>
      <c r="B29" s="27" t="s">
        <v>439</v>
      </c>
      <c r="C29" s="27" t="s">
        <v>73</v>
      </c>
      <c r="D29" s="27" t="s">
        <v>9</v>
      </c>
      <c r="E29" s="27" t="s">
        <v>31</v>
      </c>
      <c r="F29" s="27" t="s">
        <v>1602</v>
      </c>
    </row>
    <row r="30" spans="1:6" ht="29.1" customHeight="1">
      <c r="A30" s="98" t="s">
        <v>1543</v>
      </c>
      <c r="B30" s="98"/>
      <c r="C30" s="32" t="s">
        <v>1570</v>
      </c>
      <c r="D30" s="99" t="s">
        <v>1607</v>
      </c>
      <c r="E30" s="99"/>
      <c r="F30" s="99"/>
    </row>
    <row r="31" spans="1:6" ht="29.1" customHeight="1">
      <c r="A31" s="98" t="s">
        <v>1544</v>
      </c>
      <c r="B31" s="98"/>
      <c r="C31" s="32" t="s">
        <v>1545</v>
      </c>
      <c r="D31" s="99" t="s">
        <v>1546</v>
      </c>
      <c r="E31" s="99"/>
      <c r="F31" s="99"/>
    </row>
    <row r="33" spans="1:6" ht="24" customHeight="1">
      <c r="A33" s="96" t="s">
        <v>1608</v>
      </c>
      <c r="B33" s="96"/>
      <c r="C33" s="96"/>
      <c r="D33" s="96"/>
      <c r="E33" s="96"/>
      <c r="F33" s="96"/>
    </row>
    <row r="34" spans="1:6" ht="36" customHeight="1">
      <c r="A34" s="97" t="s">
        <v>1609</v>
      </c>
      <c r="B34" s="97"/>
      <c r="C34" s="97"/>
      <c r="D34" s="97"/>
      <c r="E34" s="97"/>
      <c r="F34" s="97"/>
    </row>
    <row r="35" spans="1:6" ht="21.95" customHeight="1">
      <c r="A35" s="25" t="s">
        <v>1532</v>
      </c>
      <c r="B35" s="25" t="s">
        <v>1533</v>
      </c>
      <c r="C35" s="25" t="s">
        <v>1534</v>
      </c>
      <c r="D35" s="25" t="s">
        <v>1535</v>
      </c>
      <c r="E35" s="25" t="s">
        <v>1536</v>
      </c>
      <c r="F35" s="25" t="s">
        <v>1537</v>
      </c>
    </row>
    <row r="36" spans="1:6" ht="29.1" customHeight="1">
      <c r="A36" s="26">
        <v>0</v>
      </c>
      <c r="B36" s="26" t="s">
        <v>41</v>
      </c>
      <c r="C36" s="26">
        <v>1</v>
      </c>
      <c r="D36" s="26" t="s">
        <v>9</v>
      </c>
      <c r="E36" s="26" t="s">
        <v>384</v>
      </c>
      <c r="F36" s="26" t="s">
        <v>1610</v>
      </c>
    </row>
    <row r="37" spans="1:6" ht="29.1" customHeight="1">
      <c r="A37" s="27">
        <v>1</v>
      </c>
      <c r="B37" s="27" t="s">
        <v>623</v>
      </c>
      <c r="C37" s="27" t="s">
        <v>73</v>
      </c>
      <c r="D37" s="27" t="s">
        <v>9</v>
      </c>
      <c r="E37" s="27" t="s">
        <v>31</v>
      </c>
      <c r="F37" s="27" t="s">
        <v>1611</v>
      </c>
    </row>
    <row r="38" spans="1:6" ht="29.1" customHeight="1">
      <c r="A38" s="98" t="s">
        <v>1543</v>
      </c>
      <c r="B38" s="98"/>
      <c r="C38" s="32" t="s">
        <v>1570</v>
      </c>
      <c r="D38" s="99" t="s">
        <v>1612</v>
      </c>
      <c r="E38" s="99"/>
      <c r="F38" s="99"/>
    </row>
    <row r="39" spans="1:6" ht="29.1" customHeight="1">
      <c r="A39" s="98" t="s">
        <v>1544</v>
      </c>
      <c r="B39" s="98"/>
      <c r="C39" s="32" t="s">
        <v>1545</v>
      </c>
      <c r="D39" s="99" t="s">
        <v>1546</v>
      </c>
      <c r="E39" s="99"/>
      <c r="F39" s="99"/>
    </row>
    <row r="41" spans="1:6" ht="24" customHeight="1">
      <c r="A41" s="96" t="s">
        <v>1613</v>
      </c>
      <c r="B41" s="96"/>
      <c r="C41" s="96"/>
      <c r="D41" s="96"/>
      <c r="E41" s="96"/>
      <c r="F41" s="96"/>
    </row>
    <row r="42" spans="1:6" ht="36" customHeight="1">
      <c r="A42" s="97" t="s">
        <v>1614</v>
      </c>
      <c r="B42" s="97"/>
      <c r="C42" s="97"/>
      <c r="D42" s="97"/>
      <c r="E42" s="97"/>
      <c r="F42" s="97"/>
    </row>
    <row r="43" spans="1:6" ht="21.95" customHeight="1">
      <c r="A43" s="25" t="s">
        <v>1532</v>
      </c>
      <c r="B43" s="25" t="s">
        <v>1533</v>
      </c>
      <c r="C43" s="25" t="s">
        <v>1534</v>
      </c>
      <c r="D43" s="25" t="s">
        <v>1535</v>
      </c>
      <c r="E43" s="25" t="s">
        <v>1536</v>
      </c>
      <c r="F43" s="25" t="s">
        <v>1537</v>
      </c>
    </row>
    <row r="44" spans="1:6" ht="29.1" customHeight="1">
      <c r="A44" s="26">
        <v>0</v>
      </c>
      <c r="B44" s="26" t="s">
        <v>41</v>
      </c>
      <c r="C44" s="26">
        <v>1</v>
      </c>
      <c r="D44" s="26" t="s">
        <v>9</v>
      </c>
      <c r="E44" s="26" t="s">
        <v>384</v>
      </c>
      <c r="F44" s="26" t="s">
        <v>1615</v>
      </c>
    </row>
    <row r="45" spans="1:6" ht="29.1" customHeight="1">
      <c r="A45" s="27">
        <v>1</v>
      </c>
      <c r="B45" s="27" t="s">
        <v>624</v>
      </c>
      <c r="C45" s="27" t="s">
        <v>73</v>
      </c>
      <c r="D45" s="27" t="s">
        <v>9</v>
      </c>
      <c r="E45" s="27" t="s">
        <v>31</v>
      </c>
      <c r="F45" s="27" t="s">
        <v>625</v>
      </c>
    </row>
    <row r="46" spans="1:6" ht="29.1" customHeight="1">
      <c r="A46" s="98" t="s">
        <v>1543</v>
      </c>
      <c r="B46" s="98"/>
      <c r="C46" s="32" t="s">
        <v>1570</v>
      </c>
      <c r="D46" s="99" t="s">
        <v>1616</v>
      </c>
      <c r="E46" s="99"/>
      <c r="F46" s="99"/>
    </row>
    <row r="47" spans="1:6" ht="29.1" customHeight="1">
      <c r="A47" s="98" t="s">
        <v>1544</v>
      </c>
      <c r="B47" s="98"/>
      <c r="C47" s="32" t="s">
        <v>1545</v>
      </c>
      <c r="D47" s="99" t="s">
        <v>1546</v>
      </c>
      <c r="E47" s="99"/>
      <c r="F47" s="99"/>
    </row>
    <row r="49" spans="1:6" ht="24" customHeight="1">
      <c r="A49" s="96" t="s">
        <v>1617</v>
      </c>
      <c r="B49" s="96"/>
      <c r="C49" s="96"/>
      <c r="D49" s="96"/>
      <c r="E49" s="96"/>
      <c r="F49" s="96"/>
    </row>
    <row r="50" spans="1:6" ht="36" customHeight="1">
      <c r="A50" s="97" t="s">
        <v>1618</v>
      </c>
      <c r="B50" s="97"/>
      <c r="C50" s="97"/>
      <c r="D50" s="97"/>
      <c r="E50" s="97"/>
      <c r="F50" s="97"/>
    </row>
    <row r="51" spans="1:6" ht="21.95" customHeight="1">
      <c r="A51" s="25" t="s">
        <v>1532</v>
      </c>
      <c r="B51" s="25" t="s">
        <v>1533</v>
      </c>
      <c r="C51" s="25" t="s">
        <v>1534</v>
      </c>
      <c r="D51" s="25" t="s">
        <v>1535</v>
      </c>
      <c r="E51" s="25" t="s">
        <v>1536</v>
      </c>
      <c r="F51" s="25" t="s">
        <v>1537</v>
      </c>
    </row>
    <row r="52" spans="1:6" ht="29.1" customHeight="1">
      <c r="A52" s="26">
        <v>0</v>
      </c>
      <c r="B52" s="26" t="s">
        <v>626</v>
      </c>
      <c r="C52" s="26">
        <v>4</v>
      </c>
      <c r="D52" s="26" t="s">
        <v>9</v>
      </c>
      <c r="E52" s="26" t="s">
        <v>369</v>
      </c>
      <c r="F52" s="26" t="s">
        <v>627</v>
      </c>
    </row>
    <row r="53" spans="1:6" ht="29.1" customHeight="1">
      <c r="A53" s="98" t="s">
        <v>1543</v>
      </c>
      <c r="B53" s="98"/>
      <c r="C53" s="32">
        <f>SUM(C52:C52)</f>
        <v>4</v>
      </c>
      <c r="D53" s="99" t="s">
        <v>1552</v>
      </c>
      <c r="E53" s="99"/>
      <c r="F53" s="99"/>
    </row>
    <row r="54" spans="1:6" ht="29.1" customHeight="1">
      <c r="A54" s="98" t="s">
        <v>1544</v>
      </c>
      <c r="B54" s="98"/>
      <c r="C54" s="32">
        <f>2+C53</f>
        <v>6</v>
      </c>
      <c r="D54" s="99" t="s">
        <v>1546</v>
      </c>
      <c r="E54" s="99"/>
      <c r="F54" s="99"/>
    </row>
    <row r="56" spans="1:6" ht="24" customHeight="1">
      <c r="A56" s="96" t="s">
        <v>1619</v>
      </c>
      <c r="B56" s="96"/>
      <c r="C56" s="96"/>
      <c r="D56" s="96"/>
      <c r="E56" s="96"/>
      <c r="F56" s="96"/>
    </row>
    <row r="57" spans="1:6" ht="36" customHeight="1">
      <c r="A57" s="97" t="s">
        <v>1620</v>
      </c>
      <c r="B57" s="97"/>
      <c r="C57" s="97"/>
      <c r="D57" s="97"/>
      <c r="E57" s="97"/>
      <c r="F57" s="97"/>
    </row>
    <row r="58" spans="1:6" ht="21.95" customHeight="1">
      <c r="A58" s="25" t="s">
        <v>1532</v>
      </c>
      <c r="B58" s="25" t="s">
        <v>1533</v>
      </c>
      <c r="C58" s="25" t="s">
        <v>1534</v>
      </c>
      <c r="D58" s="25" t="s">
        <v>1535</v>
      </c>
      <c r="E58" s="25" t="s">
        <v>1536</v>
      </c>
      <c r="F58" s="25" t="s">
        <v>1537</v>
      </c>
    </row>
    <row r="59" spans="1:6" ht="29.1" customHeight="1">
      <c r="A59" s="26">
        <v>0</v>
      </c>
      <c r="B59" s="26" t="s">
        <v>626</v>
      </c>
      <c r="C59" s="26">
        <v>4</v>
      </c>
      <c r="D59" s="26" t="s">
        <v>9</v>
      </c>
      <c r="E59" s="26" t="s">
        <v>369</v>
      </c>
      <c r="F59" s="26" t="s">
        <v>627</v>
      </c>
    </row>
    <row r="60" spans="1:6" ht="29.1" customHeight="1">
      <c r="A60" s="98" t="s">
        <v>1543</v>
      </c>
      <c r="B60" s="98"/>
      <c r="C60" s="32">
        <f>SUM(C59:C59)</f>
        <v>4</v>
      </c>
      <c r="D60" s="99" t="s">
        <v>1552</v>
      </c>
      <c r="E60" s="99"/>
      <c r="F60" s="99"/>
    </row>
    <row r="61" spans="1:6" ht="29.1" customHeight="1">
      <c r="A61" s="98" t="s">
        <v>1544</v>
      </c>
      <c r="B61" s="98"/>
      <c r="C61" s="32">
        <f>2+C60</f>
        <v>6</v>
      </c>
      <c r="D61" s="99" t="s">
        <v>1546</v>
      </c>
      <c r="E61" s="99"/>
      <c r="F61" s="99"/>
    </row>
    <row r="63" spans="1:6" ht="24" customHeight="1">
      <c r="A63" s="96" t="s">
        <v>1621</v>
      </c>
      <c r="B63" s="96"/>
      <c r="C63" s="96"/>
      <c r="D63" s="96"/>
      <c r="E63" s="96"/>
      <c r="F63" s="96"/>
    </row>
    <row r="64" spans="1:6" ht="51" customHeight="1">
      <c r="A64" s="97" t="s">
        <v>1622</v>
      </c>
      <c r="B64" s="97"/>
      <c r="C64" s="97"/>
      <c r="D64" s="97"/>
      <c r="E64" s="97"/>
      <c r="F64" s="97"/>
    </row>
    <row r="65" spans="1:6" ht="21.95" customHeight="1">
      <c r="A65" s="25" t="s">
        <v>1532</v>
      </c>
      <c r="B65" s="25" t="s">
        <v>1533</v>
      </c>
      <c r="C65" s="25" t="s">
        <v>1534</v>
      </c>
      <c r="D65" s="25" t="s">
        <v>1535</v>
      </c>
      <c r="E65" s="25" t="s">
        <v>1536</v>
      </c>
      <c r="F65" s="25" t="s">
        <v>1537</v>
      </c>
    </row>
    <row r="66" spans="1:6" ht="29.1" customHeight="1">
      <c r="A66" s="26">
        <v>0</v>
      </c>
      <c r="B66" s="26" t="s">
        <v>453</v>
      </c>
      <c r="C66" s="26">
        <v>1</v>
      </c>
      <c r="D66" s="26" t="s">
        <v>9</v>
      </c>
      <c r="E66" s="26" t="s">
        <v>1623</v>
      </c>
      <c r="F66" s="26" t="s">
        <v>1624</v>
      </c>
    </row>
    <row r="67" spans="1:6" ht="29.1" customHeight="1">
      <c r="A67" s="27">
        <v>1</v>
      </c>
      <c r="B67" s="27" t="s">
        <v>628</v>
      </c>
      <c r="C67" s="27">
        <v>4</v>
      </c>
      <c r="D67" s="27" t="s">
        <v>9</v>
      </c>
      <c r="E67" s="27" t="s">
        <v>369</v>
      </c>
      <c r="F67" s="27" t="s">
        <v>1625</v>
      </c>
    </row>
    <row r="68" spans="1:6" ht="29.1" customHeight="1">
      <c r="A68" s="98" t="s">
        <v>1543</v>
      </c>
      <c r="B68" s="98"/>
      <c r="C68" s="32">
        <f>SUM(C66:C67)</f>
        <v>5</v>
      </c>
      <c r="D68" s="99" t="s">
        <v>1552</v>
      </c>
      <c r="E68" s="99"/>
      <c r="F68" s="99"/>
    </row>
    <row r="69" spans="1:6" ht="29.1" customHeight="1">
      <c r="A69" s="98" t="s">
        <v>1544</v>
      </c>
      <c r="B69" s="98"/>
      <c r="C69" s="32">
        <f>2+C68</f>
        <v>7</v>
      </c>
      <c r="D69" s="99" t="s">
        <v>1546</v>
      </c>
      <c r="E69" s="99"/>
      <c r="F69" s="99"/>
    </row>
    <row r="71" spans="1:6" ht="24" customHeight="1">
      <c r="A71" s="96" t="s">
        <v>1626</v>
      </c>
      <c r="B71" s="96"/>
      <c r="C71" s="96"/>
      <c r="D71" s="96"/>
      <c r="E71" s="96"/>
      <c r="F71" s="96"/>
    </row>
    <row r="72" spans="1:6" ht="51" customHeight="1">
      <c r="A72" s="97" t="s">
        <v>1627</v>
      </c>
      <c r="B72" s="97"/>
      <c r="C72" s="97"/>
      <c r="D72" s="97"/>
      <c r="E72" s="97"/>
      <c r="F72" s="97"/>
    </row>
    <row r="73" spans="1:6" ht="21.95" customHeight="1">
      <c r="A73" s="25" t="s">
        <v>1532</v>
      </c>
      <c r="B73" s="25" t="s">
        <v>1533</v>
      </c>
      <c r="C73" s="25" t="s">
        <v>1534</v>
      </c>
      <c r="D73" s="25" t="s">
        <v>1535</v>
      </c>
      <c r="E73" s="25" t="s">
        <v>1536</v>
      </c>
      <c r="F73" s="25" t="s">
        <v>1537</v>
      </c>
    </row>
    <row r="74" spans="1:6" ht="29.1" customHeight="1">
      <c r="A74" s="26">
        <v>0</v>
      </c>
      <c r="B74" s="26" t="s">
        <v>629</v>
      </c>
      <c r="C74" s="26">
        <v>1</v>
      </c>
      <c r="D74" s="26" t="s">
        <v>9</v>
      </c>
      <c r="E74" s="26" t="s">
        <v>630</v>
      </c>
      <c r="F74" s="26" t="s">
        <v>1628</v>
      </c>
    </row>
    <row r="75" spans="1:6" ht="29.1" customHeight="1">
      <c r="A75" s="27">
        <v>1</v>
      </c>
      <c r="B75" s="27" t="s">
        <v>631</v>
      </c>
      <c r="C75" s="27">
        <v>1</v>
      </c>
      <c r="D75" s="27" t="s">
        <v>9</v>
      </c>
      <c r="E75" s="27" t="s">
        <v>384</v>
      </c>
      <c r="F75" s="27" t="s">
        <v>1629</v>
      </c>
    </row>
    <row r="76" spans="1:6" ht="29.1" customHeight="1">
      <c r="A76" s="26">
        <v>2</v>
      </c>
      <c r="B76" s="26" t="s">
        <v>632</v>
      </c>
      <c r="C76" s="26">
        <v>1</v>
      </c>
      <c r="D76" s="26" t="s">
        <v>9</v>
      </c>
      <c r="E76" s="26" t="s">
        <v>384</v>
      </c>
      <c r="F76" s="26" t="s">
        <v>1630</v>
      </c>
    </row>
    <row r="77" spans="1:6" ht="29.1" customHeight="1">
      <c r="A77" s="27">
        <v>3</v>
      </c>
      <c r="B77" s="27" t="s">
        <v>633</v>
      </c>
      <c r="C77" s="27">
        <v>1</v>
      </c>
      <c r="D77" s="27" t="s">
        <v>9</v>
      </c>
      <c r="E77" s="27" t="s">
        <v>384</v>
      </c>
      <c r="F77" s="27" t="s">
        <v>1631</v>
      </c>
    </row>
    <row r="78" spans="1:6" ht="29.1" customHeight="1">
      <c r="A78" s="26">
        <v>4</v>
      </c>
      <c r="B78" s="26" t="s">
        <v>634</v>
      </c>
      <c r="C78" s="26">
        <v>1</v>
      </c>
      <c r="D78" s="26" t="s">
        <v>9</v>
      </c>
      <c r="E78" s="26" t="s">
        <v>305</v>
      </c>
      <c r="F78" s="26" t="s">
        <v>1632</v>
      </c>
    </row>
    <row r="79" spans="1:6" ht="29.1" customHeight="1">
      <c r="A79" s="27">
        <v>5</v>
      </c>
      <c r="B79" s="27" t="s">
        <v>483</v>
      </c>
      <c r="C79" s="27">
        <v>16</v>
      </c>
      <c r="D79" s="27" t="s">
        <v>9</v>
      </c>
      <c r="E79" s="27" t="s">
        <v>1584</v>
      </c>
      <c r="F79" s="27" t="s">
        <v>1633</v>
      </c>
    </row>
    <row r="80" spans="1:6" ht="29.1" customHeight="1">
      <c r="A80" s="26">
        <v>21</v>
      </c>
      <c r="B80" s="26" t="s">
        <v>486</v>
      </c>
      <c r="C80" s="26">
        <v>4</v>
      </c>
      <c r="D80" s="26" t="s">
        <v>9</v>
      </c>
      <c r="E80" s="26" t="s">
        <v>369</v>
      </c>
      <c r="F80" s="26" t="s">
        <v>1634</v>
      </c>
    </row>
    <row r="81" spans="1:6" ht="29.1" customHeight="1">
      <c r="A81" s="27">
        <v>25</v>
      </c>
      <c r="B81" s="27" t="s">
        <v>635</v>
      </c>
      <c r="C81" s="27">
        <v>4</v>
      </c>
      <c r="D81" s="27" t="s">
        <v>9</v>
      </c>
      <c r="E81" s="27" t="s">
        <v>489</v>
      </c>
      <c r="F81" s="27" t="s">
        <v>1635</v>
      </c>
    </row>
    <row r="82" spans="1:6" ht="29.1" customHeight="1">
      <c r="A82" s="98" t="s">
        <v>1543</v>
      </c>
      <c r="B82" s="98"/>
      <c r="C82" s="32">
        <f>SUM(C74:C81)</f>
        <v>29</v>
      </c>
      <c r="D82" s="99" t="s">
        <v>1552</v>
      </c>
      <c r="E82" s="99"/>
      <c r="F82" s="99"/>
    </row>
    <row r="83" spans="1:6" ht="29.1" customHeight="1">
      <c r="A83" s="98" t="s">
        <v>1544</v>
      </c>
      <c r="B83" s="98"/>
      <c r="C83" s="32">
        <f>2+C82</f>
        <v>31</v>
      </c>
      <c r="D83" s="99" t="s">
        <v>1546</v>
      </c>
      <c r="E83" s="99"/>
      <c r="F83" s="99"/>
    </row>
    <row r="85" spans="1:6" ht="24" customHeight="1">
      <c r="A85" s="96" t="s">
        <v>1636</v>
      </c>
      <c r="B85" s="96"/>
      <c r="C85" s="96"/>
      <c r="D85" s="96"/>
      <c r="E85" s="96"/>
      <c r="F85" s="96"/>
    </row>
    <row r="86" spans="1:6" ht="51" customHeight="1">
      <c r="A86" s="97" t="s">
        <v>1637</v>
      </c>
      <c r="B86" s="97"/>
      <c r="C86" s="97"/>
      <c r="D86" s="97"/>
      <c r="E86" s="97"/>
      <c r="F86" s="97"/>
    </row>
    <row r="87" spans="1:6" ht="21.95" customHeight="1">
      <c r="A87" s="25" t="s">
        <v>1532</v>
      </c>
      <c r="B87" s="25" t="s">
        <v>1533</v>
      </c>
      <c r="C87" s="25" t="s">
        <v>1534</v>
      </c>
      <c r="D87" s="25" t="s">
        <v>1535</v>
      </c>
      <c r="E87" s="25" t="s">
        <v>1536</v>
      </c>
      <c r="F87" s="25" t="s">
        <v>1537</v>
      </c>
    </row>
    <row r="88" spans="1:6" ht="29.1" customHeight="1">
      <c r="A88" s="26" t="s">
        <v>395</v>
      </c>
      <c r="B88" s="26" t="s">
        <v>1638</v>
      </c>
      <c r="C88" s="26">
        <v>0</v>
      </c>
      <c r="D88" s="26" t="s">
        <v>9</v>
      </c>
      <c r="E88" s="26" t="s">
        <v>397</v>
      </c>
      <c r="F88" s="26" t="s">
        <v>1639</v>
      </c>
    </row>
    <row r="89" spans="1:6" ht="29.1" customHeight="1">
      <c r="A89" s="98" t="s">
        <v>1543</v>
      </c>
      <c r="B89" s="98"/>
      <c r="C89" s="32">
        <f>SUM(C88:C88)</f>
        <v>0</v>
      </c>
      <c r="D89" s="99" t="s">
        <v>1552</v>
      </c>
      <c r="E89" s="99"/>
      <c r="F89" s="99"/>
    </row>
    <row r="90" spans="1:6" ht="29.1" customHeight="1">
      <c r="A90" s="98" t="s">
        <v>1544</v>
      </c>
      <c r="B90" s="98"/>
      <c r="C90" s="32">
        <f>2+C89</f>
        <v>2</v>
      </c>
      <c r="D90" s="99" t="s">
        <v>1546</v>
      </c>
      <c r="E90" s="99"/>
      <c r="F90" s="99"/>
    </row>
    <row r="92" spans="1:6" ht="24" customHeight="1">
      <c r="A92" s="96" t="s">
        <v>1640</v>
      </c>
      <c r="B92" s="96"/>
      <c r="C92" s="96"/>
      <c r="D92" s="96"/>
      <c r="E92" s="96"/>
      <c r="F92" s="96"/>
    </row>
    <row r="93" spans="1:6" ht="36" customHeight="1">
      <c r="A93" s="97" t="s">
        <v>1641</v>
      </c>
      <c r="B93" s="97"/>
      <c r="C93" s="97"/>
      <c r="D93" s="97"/>
      <c r="E93" s="97"/>
      <c r="F93" s="97"/>
    </row>
    <row r="94" spans="1:6" ht="21.95" customHeight="1">
      <c r="A94" s="25" t="s">
        <v>1532</v>
      </c>
      <c r="B94" s="25" t="s">
        <v>1533</v>
      </c>
      <c r="C94" s="25" t="s">
        <v>1534</v>
      </c>
      <c r="D94" s="25" t="s">
        <v>1535</v>
      </c>
      <c r="E94" s="25" t="s">
        <v>1536</v>
      </c>
      <c r="F94" s="25" t="s">
        <v>1537</v>
      </c>
    </row>
    <row r="95" spans="1:6" ht="29.1" customHeight="1">
      <c r="A95" s="26">
        <v>0</v>
      </c>
      <c r="B95" s="26" t="s">
        <v>629</v>
      </c>
      <c r="C95" s="26">
        <v>1</v>
      </c>
      <c r="D95" s="26" t="s">
        <v>9</v>
      </c>
      <c r="E95" s="26" t="s">
        <v>630</v>
      </c>
      <c r="F95" s="26" t="s">
        <v>1642</v>
      </c>
    </row>
    <row r="96" spans="1:6" ht="29.1" customHeight="1">
      <c r="A96" s="98" t="s">
        <v>1543</v>
      </c>
      <c r="B96" s="98"/>
      <c r="C96" s="32">
        <f>SUM(C95:C95)</f>
        <v>1</v>
      </c>
      <c r="D96" s="99" t="s">
        <v>1552</v>
      </c>
      <c r="E96" s="99"/>
      <c r="F96" s="99"/>
    </row>
    <row r="97" spans="1:6" ht="29.1" customHeight="1">
      <c r="A97" s="98" t="s">
        <v>1544</v>
      </c>
      <c r="B97" s="98"/>
      <c r="C97" s="32">
        <f>2+C96</f>
        <v>3</v>
      </c>
      <c r="D97" s="99" t="s">
        <v>1546</v>
      </c>
      <c r="E97" s="99"/>
      <c r="F97" s="99"/>
    </row>
    <row r="99" spans="1:6" ht="51" customHeight="1">
      <c r="A99" s="104" t="s">
        <v>1588</v>
      </c>
      <c r="B99" s="104"/>
      <c r="C99" s="104"/>
      <c r="D99" s="104"/>
      <c r="E99" s="104"/>
      <c r="F99" s="104"/>
    </row>
  </sheetData>
  <mergeCells count="69">
    <mergeCell ref="A97:B97"/>
    <mergeCell ref="D97:F97"/>
    <mergeCell ref="A99:F99"/>
    <mergeCell ref="A90:B90"/>
    <mergeCell ref="D90:F90"/>
    <mergeCell ref="A92:F92"/>
    <mergeCell ref="A93:F93"/>
    <mergeCell ref="A96:B96"/>
    <mergeCell ref="D96:F96"/>
    <mergeCell ref="A83:B83"/>
    <mergeCell ref="D83:F83"/>
    <mergeCell ref="A85:F85"/>
    <mergeCell ref="A86:F86"/>
    <mergeCell ref="A89:B89"/>
    <mergeCell ref="D89:F89"/>
    <mergeCell ref="A69:B69"/>
    <mergeCell ref="D69:F69"/>
    <mergeCell ref="A71:F71"/>
    <mergeCell ref="A72:F72"/>
    <mergeCell ref="A82:B82"/>
    <mergeCell ref="D82:F82"/>
    <mergeCell ref="A61:B61"/>
    <mergeCell ref="D61:F61"/>
    <mergeCell ref="A63:F63"/>
    <mergeCell ref="A64:F64"/>
    <mergeCell ref="A68:B68"/>
    <mergeCell ref="D68:F68"/>
    <mergeCell ref="A54:B54"/>
    <mergeCell ref="D54:F54"/>
    <mergeCell ref="A56:F56"/>
    <mergeCell ref="A57:F57"/>
    <mergeCell ref="A60:B60"/>
    <mergeCell ref="D60:F60"/>
    <mergeCell ref="A47:B47"/>
    <mergeCell ref="D47:F47"/>
    <mergeCell ref="A49:F49"/>
    <mergeCell ref="A50:F50"/>
    <mergeCell ref="A53:B53"/>
    <mergeCell ref="D53:F53"/>
    <mergeCell ref="A39:B39"/>
    <mergeCell ref="D39:F39"/>
    <mergeCell ref="A41:F41"/>
    <mergeCell ref="A42:F42"/>
    <mergeCell ref="A46:B46"/>
    <mergeCell ref="D46:F46"/>
    <mergeCell ref="A31:B31"/>
    <mergeCell ref="D31:F31"/>
    <mergeCell ref="A33:F33"/>
    <mergeCell ref="A34:F34"/>
    <mergeCell ref="A38:B38"/>
    <mergeCell ref="D38:F38"/>
    <mergeCell ref="A23:B23"/>
    <mergeCell ref="D23:F23"/>
    <mergeCell ref="A25:F25"/>
    <mergeCell ref="A26:F26"/>
    <mergeCell ref="A30:B30"/>
    <mergeCell ref="D30:F30"/>
    <mergeCell ref="A14:B14"/>
    <mergeCell ref="D14:F14"/>
    <mergeCell ref="A16:F16"/>
    <mergeCell ref="A17:F17"/>
    <mergeCell ref="A22:B22"/>
    <mergeCell ref="D22:F22"/>
    <mergeCell ref="A1:F1"/>
    <mergeCell ref="A2:F2"/>
    <mergeCell ref="A4:F4"/>
    <mergeCell ref="A5:F5"/>
    <mergeCell ref="A13:B13"/>
    <mergeCell ref="D13:F13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8"/>
  <sheetViews>
    <sheetView topLeftCell="A2" workbookViewId="0">
      <selection activeCell="H12" sqref="A1:XFD1048576"/>
    </sheetView>
  </sheetViews>
  <sheetFormatPr defaultRowHeight="14.25"/>
  <cols>
    <col min="1" max="1" width="10" style="24" customWidth="1"/>
    <col min="2" max="2" width="26" style="24" customWidth="1"/>
    <col min="3" max="3" width="19.5" style="24" customWidth="1"/>
    <col min="4" max="4" width="13" style="24" customWidth="1"/>
    <col min="5" max="5" width="34" style="24" customWidth="1"/>
    <col min="6" max="6" width="72" style="24" customWidth="1"/>
    <col min="7" max="16384" width="9" style="24"/>
  </cols>
  <sheetData>
    <row r="1" spans="1:6" ht="33.950000000000003" customHeight="1">
      <c r="A1" s="71" t="s">
        <v>1528</v>
      </c>
      <c r="B1" s="71"/>
      <c r="C1" s="71"/>
      <c r="D1" s="71"/>
      <c r="E1" s="71"/>
      <c r="F1" s="71"/>
    </row>
    <row r="2" spans="1:6" ht="21.95" customHeight="1">
      <c r="A2" s="95" t="s">
        <v>1529</v>
      </c>
      <c r="B2" s="95"/>
      <c r="C2" s="95"/>
      <c r="D2" s="95"/>
      <c r="E2" s="95"/>
      <c r="F2" s="95"/>
    </row>
    <row r="4" spans="1:6" ht="24" customHeight="1">
      <c r="A4" s="100" t="s">
        <v>1530</v>
      </c>
      <c r="B4" s="100"/>
      <c r="C4" s="100"/>
      <c r="D4" s="100"/>
      <c r="E4" s="100"/>
      <c r="F4" s="100"/>
    </row>
    <row r="5" spans="1:6" ht="51" customHeight="1">
      <c r="A5" s="101" t="s">
        <v>1531</v>
      </c>
      <c r="B5" s="101"/>
      <c r="C5" s="101"/>
      <c r="D5" s="101"/>
      <c r="E5" s="101"/>
      <c r="F5" s="101"/>
    </row>
    <row r="6" spans="1:6" ht="21.95" customHeight="1">
      <c r="A6" s="28" t="s">
        <v>1532</v>
      </c>
      <c r="B6" s="28" t="s">
        <v>1533</v>
      </c>
      <c r="C6" s="28" t="s">
        <v>1534</v>
      </c>
      <c r="D6" s="28" t="s">
        <v>1535</v>
      </c>
      <c r="E6" s="28" t="s">
        <v>1536</v>
      </c>
      <c r="F6" s="28" t="s">
        <v>1537</v>
      </c>
    </row>
    <row r="7" spans="1:6" ht="29.1" customHeight="1">
      <c r="A7" s="29" t="s">
        <v>612</v>
      </c>
      <c r="B7" s="29" t="s">
        <v>613</v>
      </c>
      <c r="C7" s="29" t="s">
        <v>614</v>
      </c>
      <c r="D7" s="29" t="s">
        <v>9</v>
      </c>
      <c r="E7" s="29" t="s">
        <v>615</v>
      </c>
      <c r="F7" s="29" t="s">
        <v>1538</v>
      </c>
    </row>
    <row r="8" spans="1:6" ht="29.1" customHeight="1">
      <c r="A8" s="30" t="s">
        <v>614</v>
      </c>
      <c r="B8" s="30" t="s">
        <v>523</v>
      </c>
      <c r="C8" s="30" t="s">
        <v>454</v>
      </c>
      <c r="D8" s="30" t="s">
        <v>9</v>
      </c>
      <c r="E8" s="30" t="s">
        <v>524</v>
      </c>
      <c r="F8" s="30" t="s">
        <v>1539</v>
      </c>
    </row>
    <row r="9" spans="1:6" ht="29.1" customHeight="1">
      <c r="A9" s="29" t="s">
        <v>636</v>
      </c>
      <c r="B9" s="29" t="s">
        <v>439</v>
      </c>
      <c r="C9" s="29" t="s">
        <v>73</v>
      </c>
      <c r="D9" s="29" t="s">
        <v>637</v>
      </c>
      <c r="E9" s="29" t="s">
        <v>31</v>
      </c>
      <c r="F9" s="29" t="s">
        <v>1540</v>
      </c>
    </row>
    <row r="10" spans="1:6" ht="29.1" customHeight="1">
      <c r="A10" s="30" t="s">
        <v>618</v>
      </c>
      <c r="B10" s="30" t="s">
        <v>638</v>
      </c>
      <c r="C10" s="30" t="s">
        <v>458</v>
      </c>
      <c r="D10" s="30" t="s">
        <v>9</v>
      </c>
      <c r="E10" s="30" t="s">
        <v>369</v>
      </c>
      <c r="F10" s="30" t="s">
        <v>1541</v>
      </c>
    </row>
    <row r="11" spans="1:6" ht="29.1" customHeight="1">
      <c r="A11" s="29" t="s">
        <v>639</v>
      </c>
      <c r="B11" s="29" t="s">
        <v>640</v>
      </c>
      <c r="C11" s="29" t="s">
        <v>458</v>
      </c>
      <c r="D11" s="29" t="s">
        <v>9</v>
      </c>
      <c r="E11" s="29" t="s">
        <v>369</v>
      </c>
      <c r="F11" s="29" t="s">
        <v>1542</v>
      </c>
    </row>
    <row r="12" spans="1:6" ht="29.1" customHeight="1">
      <c r="A12" s="102" t="s">
        <v>1543</v>
      </c>
      <c r="B12" s="102"/>
      <c r="C12" s="31" t="s">
        <v>641</v>
      </c>
      <c r="D12" s="103" t="s">
        <v>642</v>
      </c>
      <c r="E12" s="103"/>
      <c r="F12" s="103"/>
    </row>
    <row r="13" spans="1:6" ht="29.1" customHeight="1">
      <c r="A13" s="102" t="s">
        <v>1544</v>
      </c>
      <c r="B13" s="102"/>
      <c r="C13" s="31" t="s">
        <v>1545</v>
      </c>
      <c r="D13" s="103" t="s">
        <v>1546</v>
      </c>
      <c r="E13" s="103"/>
      <c r="F13" s="103"/>
    </row>
    <row r="15" spans="1:6" ht="24" customHeight="1">
      <c r="A15" s="100" t="s">
        <v>1547</v>
      </c>
      <c r="B15" s="100"/>
      <c r="C15" s="100"/>
      <c r="D15" s="100"/>
      <c r="E15" s="100"/>
      <c r="F15" s="100"/>
    </row>
    <row r="16" spans="1:6" ht="51" customHeight="1">
      <c r="A16" s="101" t="s">
        <v>1548</v>
      </c>
      <c r="B16" s="101"/>
      <c r="C16" s="101"/>
      <c r="D16" s="101"/>
      <c r="E16" s="101"/>
      <c r="F16" s="101"/>
    </row>
    <row r="17" spans="1:6" ht="21.95" customHeight="1">
      <c r="A17" s="28" t="s">
        <v>1532</v>
      </c>
      <c r="B17" s="28" t="s">
        <v>1533</v>
      </c>
      <c r="C17" s="28" t="s">
        <v>1534</v>
      </c>
      <c r="D17" s="28" t="s">
        <v>1535</v>
      </c>
      <c r="E17" s="28" t="s">
        <v>1536</v>
      </c>
      <c r="F17" s="28" t="s">
        <v>1537</v>
      </c>
    </row>
    <row r="18" spans="1:6" ht="29.1" customHeight="1">
      <c r="A18" s="29" t="s">
        <v>612</v>
      </c>
      <c r="B18" s="29" t="s">
        <v>613</v>
      </c>
      <c r="C18" s="29" t="s">
        <v>614</v>
      </c>
      <c r="D18" s="29" t="s">
        <v>9</v>
      </c>
      <c r="E18" s="29" t="s">
        <v>615</v>
      </c>
      <c r="F18" s="29" t="s">
        <v>1538</v>
      </c>
    </row>
    <row r="19" spans="1:6" ht="29.1" customHeight="1">
      <c r="A19" s="30" t="s">
        <v>614</v>
      </c>
      <c r="B19" s="30" t="s">
        <v>523</v>
      </c>
      <c r="C19" s="30" t="s">
        <v>454</v>
      </c>
      <c r="D19" s="30" t="s">
        <v>9</v>
      </c>
      <c r="E19" s="30" t="s">
        <v>524</v>
      </c>
      <c r="F19" s="30" t="s">
        <v>1539</v>
      </c>
    </row>
    <row r="20" spans="1:6" ht="29.1" customHeight="1">
      <c r="A20" s="29" t="s">
        <v>636</v>
      </c>
      <c r="B20" s="29" t="s">
        <v>439</v>
      </c>
      <c r="C20" s="29" t="s">
        <v>73</v>
      </c>
      <c r="D20" s="29" t="s">
        <v>637</v>
      </c>
      <c r="E20" s="29" t="s">
        <v>31</v>
      </c>
      <c r="F20" s="29" t="s">
        <v>1540</v>
      </c>
    </row>
    <row r="21" spans="1:6" ht="29.1" customHeight="1">
      <c r="A21" s="30" t="s">
        <v>618</v>
      </c>
      <c r="B21" s="30" t="s">
        <v>638</v>
      </c>
      <c r="C21" s="30" t="s">
        <v>458</v>
      </c>
      <c r="D21" s="30" t="s">
        <v>9</v>
      </c>
      <c r="E21" s="30" t="s">
        <v>369</v>
      </c>
      <c r="F21" s="30" t="s">
        <v>1541</v>
      </c>
    </row>
    <row r="22" spans="1:6" ht="29.1" customHeight="1">
      <c r="A22" s="29" t="s">
        <v>639</v>
      </c>
      <c r="B22" s="29" t="s">
        <v>640</v>
      </c>
      <c r="C22" s="29" t="s">
        <v>458</v>
      </c>
      <c r="D22" s="29" t="s">
        <v>9</v>
      </c>
      <c r="E22" s="29" t="s">
        <v>369</v>
      </c>
      <c r="F22" s="29" t="s">
        <v>1542</v>
      </c>
    </row>
    <row r="23" spans="1:6" ht="29.1" customHeight="1">
      <c r="A23" s="102" t="s">
        <v>1543</v>
      </c>
      <c r="B23" s="102"/>
      <c r="C23" s="31" t="s">
        <v>641</v>
      </c>
      <c r="D23" s="103" t="s">
        <v>642</v>
      </c>
      <c r="E23" s="103"/>
      <c r="F23" s="103"/>
    </row>
    <row r="24" spans="1:6" ht="29.1" customHeight="1">
      <c r="A24" s="102" t="s">
        <v>1544</v>
      </c>
      <c r="B24" s="102"/>
      <c r="C24" s="31" t="s">
        <v>1545</v>
      </c>
      <c r="D24" s="103" t="s">
        <v>1546</v>
      </c>
      <c r="E24" s="103"/>
      <c r="F24" s="103"/>
    </row>
    <row r="26" spans="1:6" ht="24" customHeight="1">
      <c r="A26" s="96" t="s">
        <v>1549</v>
      </c>
      <c r="B26" s="96"/>
      <c r="C26" s="96"/>
      <c r="D26" s="96"/>
      <c r="E26" s="96"/>
      <c r="F26" s="96"/>
    </row>
    <row r="27" spans="1:6" ht="36" customHeight="1">
      <c r="A27" s="97" t="s">
        <v>1550</v>
      </c>
      <c r="B27" s="97"/>
      <c r="C27" s="97"/>
      <c r="D27" s="97"/>
      <c r="E27" s="97"/>
      <c r="F27" s="97"/>
    </row>
    <row r="28" spans="1:6" ht="21.95" customHeight="1">
      <c r="A28" s="25" t="s">
        <v>1532</v>
      </c>
      <c r="B28" s="25" t="s">
        <v>1533</v>
      </c>
      <c r="C28" s="25" t="s">
        <v>1534</v>
      </c>
      <c r="D28" s="25" t="s">
        <v>1535</v>
      </c>
      <c r="E28" s="25" t="s">
        <v>1536</v>
      </c>
      <c r="F28" s="25" t="s">
        <v>1537</v>
      </c>
    </row>
    <row r="29" spans="1:6" ht="29.1" customHeight="1">
      <c r="A29" s="26">
        <v>0</v>
      </c>
      <c r="B29" s="26" t="s">
        <v>643</v>
      </c>
      <c r="C29" s="26">
        <v>1</v>
      </c>
      <c r="D29" s="26" t="s">
        <v>9</v>
      </c>
      <c r="E29" s="26" t="s">
        <v>1233</v>
      </c>
      <c r="F29" s="26" t="s">
        <v>1551</v>
      </c>
    </row>
    <row r="30" spans="1:6" ht="29.1" customHeight="1">
      <c r="A30" s="98" t="s">
        <v>1543</v>
      </c>
      <c r="B30" s="98"/>
      <c r="C30" s="32">
        <f>SUM(C29:C29)</f>
        <v>1</v>
      </c>
      <c r="D30" s="99" t="s">
        <v>1552</v>
      </c>
      <c r="E30" s="99"/>
      <c r="F30" s="99"/>
    </row>
    <row r="31" spans="1:6" ht="29.1" customHeight="1">
      <c r="A31" s="98" t="s">
        <v>1544</v>
      </c>
      <c r="B31" s="98"/>
      <c r="C31" s="32">
        <f>2+C30</f>
        <v>3</v>
      </c>
      <c r="D31" s="99" t="s">
        <v>1546</v>
      </c>
      <c r="E31" s="99"/>
      <c r="F31" s="99"/>
    </row>
    <row r="33" spans="1:6" ht="24" customHeight="1">
      <c r="A33" s="96" t="s">
        <v>1553</v>
      </c>
      <c r="B33" s="96"/>
      <c r="C33" s="96"/>
      <c r="D33" s="96"/>
      <c r="E33" s="96"/>
      <c r="F33" s="96"/>
    </row>
    <row r="34" spans="1:6" ht="51" customHeight="1">
      <c r="A34" s="97" t="s">
        <v>1554</v>
      </c>
      <c r="B34" s="97"/>
      <c r="C34" s="97"/>
      <c r="D34" s="97"/>
      <c r="E34" s="97"/>
      <c r="F34" s="97"/>
    </row>
    <row r="35" spans="1:6" ht="21.95" customHeight="1">
      <c r="A35" s="25" t="s">
        <v>1532</v>
      </c>
      <c r="B35" s="25" t="s">
        <v>1533</v>
      </c>
      <c r="C35" s="25" t="s">
        <v>1534</v>
      </c>
      <c r="D35" s="25" t="s">
        <v>1535</v>
      </c>
      <c r="E35" s="25" t="s">
        <v>1536</v>
      </c>
      <c r="F35" s="25" t="s">
        <v>1537</v>
      </c>
    </row>
    <row r="36" spans="1:6" ht="29.1" customHeight="1">
      <c r="A36" s="26">
        <v>0</v>
      </c>
      <c r="B36" s="26" t="s">
        <v>644</v>
      </c>
      <c r="C36" s="26">
        <v>1</v>
      </c>
      <c r="D36" s="26" t="s">
        <v>9</v>
      </c>
      <c r="E36" s="26" t="s">
        <v>305</v>
      </c>
      <c r="F36" s="26" t="s">
        <v>1555</v>
      </c>
    </row>
    <row r="37" spans="1:6" ht="29.1" customHeight="1">
      <c r="A37" s="27">
        <v>1</v>
      </c>
      <c r="B37" s="27" t="s">
        <v>643</v>
      </c>
      <c r="C37" s="27">
        <v>1</v>
      </c>
      <c r="D37" s="27" t="s">
        <v>9</v>
      </c>
      <c r="E37" s="27" t="s">
        <v>1233</v>
      </c>
      <c r="F37" s="27" t="s">
        <v>1556</v>
      </c>
    </row>
    <row r="38" spans="1:6" ht="29.1" customHeight="1">
      <c r="A38" s="98" t="s">
        <v>1543</v>
      </c>
      <c r="B38" s="98"/>
      <c r="C38" s="32">
        <f>SUM(C36:C37)</f>
        <v>2</v>
      </c>
      <c r="D38" s="99" t="s">
        <v>1552</v>
      </c>
      <c r="E38" s="99"/>
      <c r="F38" s="99"/>
    </row>
    <row r="39" spans="1:6" ht="29.1" customHeight="1">
      <c r="A39" s="98" t="s">
        <v>1544</v>
      </c>
      <c r="B39" s="98"/>
      <c r="C39" s="32">
        <f>2+C38</f>
        <v>4</v>
      </c>
      <c r="D39" s="99" t="s">
        <v>1546</v>
      </c>
      <c r="E39" s="99"/>
      <c r="F39" s="99"/>
    </row>
    <row r="41" spans="1:6" ht="24" customHeight="1">
      <c r="A41" s="96" t="s">
        <v>1557</v>
      </c>
      <c r="B41" s="96"/>
      <c r="C41" s="96"/>
      <c r="D41" s="96"/>
      <c r="E41" s="96"/>
      <c r="F41" s="96"/>
    </row>
    <row r="42" spans="1:6" ht="51" customHeight="1">
      <c r="A42" s="97" t="s">
        <v>1558</v>
      </c>
      <c r="B42" s="97"/>
      <c r="C42" s="97"/>
      <c r="D42" s="97"/>
      <c r="E42" s="97"/>
      <c r="F42" s="97"/>
    </row>
    <row r="43" spans="1:6" ht="21.95" customHeight="1">
      <c r="A43" s="25" t="s">
        <v>1532</v>
      </c>
      <c r="B43" s="25" t="s">
        <v>1533</v>
      </c>
      <c r="C43" s="25" t="s">
        <v>1534</v>
      </c>
      <c r="D43" s="25" t="s">
        <v>1535</v>
      </c>
      <c r="E43" s="25" t="s">
        <v>1536</v>
      </c>
      <c r="F43" s="25" t="s">
        <v>1537</v>
      </c>
    </row>
    <row r="44" spans="1:6" ht="29.1" customHeight="1">
      <c r="A44" s="26">
        <v>0</v>
      </c>
      <c r="B44" s="26" t="s">
        <v>401</v>
      </c>
      <c r="C44" s="26">
        <v>1</v>
      </c>
      <c r="D44" s="26" t="s">
        <v>9</v>
      </c>
      <c r="E44" s="26" t="s">
        <v>374</v>
      </c>
      <c r="F44" s="26" t="s">
        <v>1559</v>
      </c>
    </row>
    <row r="45" spans="1:6" ht="29.1" customHeight="1">
      <c r="A45" s="27">
        <v>1</v>
      </c>
      <c r="B45" s="27" t="s">
        <v>406</v>
      </c>
      <c r="C45" s="27">
        <v>4</v>
      </c>
      <c r="D45" s="27" t="s">
        <v>9</v>
      </c>
      <c r="E45" s="27" t="s">
        <v>369</v>
      </c>
      <c r="F45" s="27" t="s">
        <v>1560</v>
      </c>
    </row>
    <row r="46" spans="1:6" ht="29.1" customHeight="1">
      <c r="A46" s="26">
        <v>5</v>
      </c>
      <c r="B46" s="26" t="s">
        <v>645</v>
      </c>
      <c r="C46" s="26">
        <v>1</v>
      </c>
      <c r="D46" s="26" t="s">
        <v>9</v>
      </c>
      <c r="E46" s="26" t="s">
        <v>1233</v>
      </c>
      <c r="F46" s="26" t="s">
        <v>1561</v>
      </c>
    </row>
    <row r="47" spans="1:6" ht="29.1" customHeight="1">
      <c r="A47" s="27">
        <v>6</v>
      </c>
      <c r="B47" s="27" t="s">
        <v>646</v>
      </c>
      <c r="C47" s="27" t="s">
        <v>528</v>
      </c>
      <c r="D47" s="27">
        <v>32</v>
      </c>
      <c r="E47" s="27" t="s">
        <v>31</v>
      </c>
      <c r="F47" s="27" t="s">
        <v>1562</v>
      </c>
    </row>
    <row r="48" spans="1:6" ht="29.1" customHeight="1">
      <c r="A48" s="26" t="s">
        <v>303</v>
      </c>
      <c r="B48" s="26" t="s">
        <v>647</v>
      </c>
      <c r="C48" s="26" t="s">
        <v>648</v>
      </c>
      <c r="D48" s="26">
        <v>63</v>
      </c>
      <c r="E48" s="26" t="s">
        <v>31</v>
      </c>
      <c r="F48" s="26" t="s">
        <v>1563</v>
      </c>
    </row>
    <row r="49" spans="1:6" ht="29.1" customHeight="1">
      <c r="A49" s="27" t="s">
        <v>303</v>
      </c>
      <c r="B49" s="27" t="s">
        <v>649</v>
      </c>
      <c r="C49" s="27">
        <v>4</v>
      </c>
      <c r="D49" s="27" t="s">
        <v>9</v>
      </c>
      <c r="E49" s="27" t="s">
        <v>1564</v>
      </c>
      <c r="F49" s="27" t="s">
        <v>1565</v>
      </c>
    </row>
    <row r="50" spans="1:6" ht="29.1" customHeight="1">
      <c r="A50" s="26" t="s">
        <v>303</v>
      </c>
      <c r="B50" s="26" t="s">
        <v>650</v>
      </c>
      <c r="C50" s="26">
        <v>2</v>
      </c>
      <c r="D50" s="26" t="s">
        <v>9</v>
      </c>
      <c r="E50" s="26" t="s">
        <v>562</v>
      </c>
      <c r="F50" s="26" t="s">
        <v>1566</v>
      </c>
    </row>
    <row r="51" spans="1:6" ht="29.1" customHeight="1">
      <c r="A51" s="27" t="s">
        <v>303</v>
      </c>
      <c r="B51" s="27" t="s">
        <v>651</v>
      </c>
      <c r="C51" s="27" t="s">
        <v>652</v>
      </c>
      <c r="D51" s="27">
        <v>32</v>
      </c>
      <c r="E51" s="27" t="s">
        <v>31</v>
      </c>
      <c r="F51" s="27" t="s">
        <v>1567</v>
      </c>
    </row>
    <row r="52" spans="1:6" ht="29.1" customHeight="1">
      <c r="A52" s="26" t="s">
        <v>303</v>
      </c>
      <c r="B52" s="26" t="s">
        <v>653</v>
      </c>
      <c r="C52" s="26" t="s">
        <v>654</v>
      </c>
      <c r="D52" s="26">
        <v>64</v>
      </c>
      <c r="E52" s="26" t="s">
        <v>31</v>
      </c>
      <c r="F52" s="26" t="s">
        <v>1568</v>
      </c>
    </row>
    <row r="53" spans="1:6" ht="29.1" customHeight="1">
      <c r="A53" s="27" t="s">
        <v>303</v>
      </c>
      <c r="B53" s="27" t="s">
        <v>655</v>
      </c>
      <c r="C53" s="27">
        <v>2</v>
      </c>
      <c r="D53" s="27" t="s">
        <v>9</v>
      </c>
      <c r="E53" s="27" t="s">
        <v>562</v>
      </c>
      <c r="F53" s="27" t="s">
        <v>1569</v>
      </c>
    </row>
    <row r="54" spans="1:6" ht="29.1" customHeight="1">
      <c r="A54" s="98" t="s">
        <v>1543</v>
      </c>
      <c r="B54" s="98"/>
      <c r="C54" s="32" t="s">
        <v>1570</v>
      </c>
      <c r="D54" s="99" t="s">
        <v>1571</v>
      </c>
      <c r="E54" s="99"/>
      <c r="F54" s="99"/>
    </row>
    <row r="55" spans="1:6" ht="29.1" customHeight="1">
      <c r="A55" s="98" t="s">
        <v>1544</v>
      </c>
      <c r="B55" s="98"/>
      <c r="C55" s="32" t="s">
        <v>1545</v>
      </c>
      <c r="D55" s="99" t="s">
        <v>1546</v>
      </c>
      <c r="E55" s="99"/>
      <c r="F55" s="99"/>
    </row>
    <row r="57" spans="1:6" ht="24" customHeight="1">
      <c r="A57" s="96" t="s">
        <v>1572</v>
      </c>
      <c r="B57" s="96"/>
      <c r="C57" s="96"/>
      <c r="D57" s="96"/>
      <c r="E57" s="96"/>
      <c r="F57" s="96"/>
    </row>
    <row r="58" spans="1:6" ht="51" customHeight="1">
      <c r="A58" s="97" t="s">
        <v>1573</v>
      </c>
      <c r="B58" s="97"/>
      <c r="C58" s="97"/>
      <c r="D58" s="97"/>
      <c r="E58" s="97"/>
      <c r="F58" s="97"/>
    </row>
    <row r="59" spans="1:6" ht="21.95" customHeight="1">
      <c r="A59" s="25" t="s">
        <v>1532</v>
      </c>
      <c r="B59" s="25" t="s">
        <v>1533</v>
      </c>
      <c r="C59" s="25" t="s">
        <v>1534</v>
      </c>
      <c r="D59" s="25" t="s">
        <v>1535</v>
      </c>
      <c r="E59" s="25" t="s">
        <v>1536</v>
      </c>
      <c r="F59" s="25" t="s">
        <v>1537</v>
      </c>
    </row>
    <row r="60" spans="1:6" ht="29.1" customHeight="1">
      <c r="A60" s="26">
        <v>0</v>
      </c>
      <c r="B60" s="26" t="s">
        <v>577</v>
      </c>
      <c r="C60" s="26">
        <v>1</v>
      </c>
      <c r="D60" s="26" t="s">
        <v>9</v>
      </c>
      <c r="E60" s="26" t="s">
        <v>384</v>
      </c>
      <c r="F60" s="26" t="s">
        <v>1574</v>
      </c>
    </row>
    <row r="61" spans="1:6" ht="29.1" customHeight="1">
      <c r="A61" s="27" t="s">
        <v>317</v>
      </c>
      <c r="B61" s="27" t="s">
        <v>579</v>
      </c>
      <c r="C61" s="27" t="s">
        <v>1570</v>
      </c>
      <c r="D61" s="27" t="s">
        <v>9</v>
      </c>
      <c r="E61" s="27" t="s">
        <v>1575</v>
      </c>
      <c r="F61" s="27" t="s">
        <v>1576</v>
      </c>
    </row>
    <row r="62" spans="1:6" ht="29.1" customHeight="1">
      <c r="A62" s="98" t="s">
        <v>1543</v>
      </c>
      <c r="B62" s="98"/>
      <c r="C62" s="32" t="s">
        <v>1570</v>
      </c>
      <c r="D62" s="99" t="s">
        <v>1577</v>
      </c>
      <c r="E62" s="99"/>
      <c r="F62" s="99"/>
    </row>
    <row r="63" spans="1:6" ht="29.1" customHeight="1">
      <c r="A63" s="98" t="s">
        <v>1544</v>
      </c>
      <c r="B63" s="98"/>
      <c r="C63" s="32" t="s">
        <v>1545</v>
      </c>
      <c r="D63" s="99" t="s">
        <v>1546</v>
      </c>
      <c r="E63" s="99"/>
      <c r="F63" s="99"/>
    </row>
    <row r="65" spans="1:6" ht="24" customHeight="1">
      <c r="A65" s="96" t="s">
        <v>1578</v>
      </c>
      <c r="B65" s="96"/>
      <c r="C65" s="96"/>
      <c r="D65" s="96"/>
      <c r="E65" s="96"/>
      <c r="F65" s="96"/>
    </row>
    <row r="66" spans="1:6" ht="36" customHeight="1">
      <c r="A66" s="97" t="s">
        <v>1579</v>
      </c>
      <c r="B66" s="97"/>
      <c r="C66" s="97"/>
      <c r="D66" s="97"/>
      <c r="E66" s="97"/>
      <c r="F66" s="97"/>
    </row>
    <row r="67" spans="1:6" ht="21.95" customHeight="1">
      <c r="A67" s="25" t="s">
        <v>1532</v>
      </c>
      <c r="B67" s="25" t="s">
        <v>1533</v>
      </c>
      <c r="C67" s="25" t="s">
        <v>1534</v>
      </c>
      <c r="D67" s="25" t="s">
        <v>1535</v>
      </c>
      <c r="E67" s="25" t="s">
        <v>1536</v>
      </c>
      <c r="F67" s="25" t="s">
        <v>1537</v>
      </c>
    </row>
    <row r="68" spans="1:6" ht="29.1" customHeight="1">
      <c r="A68" s="26">
        <v>0</v>
      </c>
      <c r="B68" s="26" t="s">
        <v>406</v>
      </c>
      <c r="C68" s="26">
        <v>4</v>
      </c>
      <c r="D68" s="26" t="s">
        <v>9</v>
      </c>
      <c r="E68" s="26" t="s">
        <v>369</v>
      </c>
      <c r="F68" s="26" t="s">
        <v>1580</v>
      </c>
    </row>
    <row r="69" spans="1:6" ht="29.1" customHeight="1">
      <c r="A69" s="27">
        <v>4</v>
      </c>
      <c r="B69" s="27" t="s">
        <v>645</v>
      </c>
      <c r="C69" s="27">
        <v>1</v>
      </c>
      <c r="D69" s="27" t="s">
        <v>9</v>
      </c>
      <c r="E69" s="27" t="s">
        <v>515</v>
      </c>
      <c r="F69" s="27" t="s">
        <v>1581</v>
      </c>
    </row>
    <row r="70" spans="1:6" ht="29.1" customHeight="1">
      <c r="A70" s="26">
        <v>5</v>
      </c>
      <c r="B70" s="26" t="s">
        <v>634</v>
      </c>
      <c r="C70" s="26">
        <v>1</v>
      </c>
      <c r="D70" s="26" t="s">
        <v>9</v>
      </c>
      <c r="E70" s="26" t="s">
        <v>381</v>
      </c>
      <c r="F70" s="26" t="s">
        <v>1582</v>
      </c>
    </row>
    <row r="71" spans="1:6" ht="29.1" customHeight="1">
      <c r="A71" s="27">
        <v>6</v>
      </c>
      <c r="B71" s="27" t="s">
        <v>304</v>
      </c>
      <c r="C71" s="27">
        <v>1</v>
      </c>
      <c r="D71" s="27" t="s">
        <v>9</v>
      </c>
      <c r="E71" s="27" t="s">
        <v>305</v>
      </c>
      <c r="F71" s="27" t="s">
        <v>1583</v>
      </c>
    </row>
    <row r="72" spans="1:6" ht="29.1" customHeight="1">
      <c r="A72" s="26">
        <v>7</v>
      </c>
      <c r="B72" s="26" t="s">
        <v>483</v>
      </c>
      <c r="C72" s="26">
        <v>16</v>
      </c>
      <c r="D72" s="26" t="s">
        <v>9</v>
      </c>
      <c r="E72" s="26" t="s">
        <v>1584</v>
      </c>
      <c r="F72" s="26" t="s">
        <v>1585</v>
      </c>
    </row>
    <row r="73" spans="1:6" ht="29.1" customHeight="1">
      <c r="A73" s="27">
        <v>23</v>
      </c>
      <c r="B73" s="27" t="s">
        <v>486</v>
      </c>
      <c r="C73" s="27">
        <v>4</v>
      </c>
      <c r="D73" s="27" t="s">
        <v>9</v>
      </c>
      <c r="E73" s="27" t="s">
        <v>369</v>
      </c>
      <c r="F73" s="27" t="s">
        <v>1586</v>
      </c>
    </row>
    <row r="74" spans="1:6" ht="29.1" customHeight="1">
      <c r="A74" s="26">
        <v>27</v>
      </c>
      <c r="B74" s="26" t="s">
        <v>488</v>
      </c>
      <c r="C74" s="26">
        <v>4</v>
      </c>
      <c r="D74" s="26" t="s">
        <v>9</v>
      </c>
      <c r="E74" s="26" t="s">
        <v>489</v>
      </c>
      <c r="F74" s="26" t="s">
        <v>1587</v>
      </c>
    </row>
    <row r="75" spans="1:6" ht="29.1" customHeight="1">
      <c r="A75" s="98" t="s">
        <v>1543</v>
      </c>
      <c r="B75" s="98"/>
      <c r="C75" s="32">
        <f>SUM(C68:C74)</f>
        <v>31</v>
      </c>
      <c r="D75" s="99" t="s">
        <v>1552</v>
      </c>
      <c r="E75" s="99"/>
      <c r="F75" s="99"/>
    </row>
    <row r="76" spans="1:6" ht="29.1" customHeight="1">
      <c r="A76" s="98" t="s">
        <v>1544</v>
      </c>
      <c r="B76" s="98"/>
      <c r="C76" s="32">
        <f>2+C75</f>
        <v>33</v>
      </c>
      <c r="D76" s="99" t="s">
        <v>1546</v>
      </c>
      <c r="E76" s="99"/>
      <c r="F76" s="99"/>
    </row>
    <row r="78" spans="1:6" ht="51" customHeight="1">
      <c r="A78" s="105" t="s">
        <v>1588</v>
      </c>
      <c r="B78" s="105"/>
      <c r="C78" s="105"/>
      <c r="D78" s="105"/>
      <c r="E78" s="105"/>
      <c r="F78" s="105"/>
    </row>
  </sheetData>
  <mergeCells count="45">
    <mergeCell ref="A76:B76"/>
    <mergeCell ref="D76:F76"/>
    <mergeCell ref="A78:F78"/>
    <mergeCell ref="A63:B63"/>
    <mergeCell ref="D63:F63"/>
    <mergeCell ref="A65:F65"/>
    <mergeCell ref="A66:F66"/>
    <mergeCell ref="A75:B75"/>
    <mergeCell ref="D75:F75"/>
    <mergeCell ref="A55:B55"/>
    <mergeCell ref="D55:F55"/>
    <mergeCell ref="A57:F57"/>
    <mergeCell ref="A58:F58"/>
    <mergeCell ref="A62:B62"/>
    <mergeCell ref="D62:F62"/>
    <mergeCell ref="A39:B39"/>
    <mergeCell ref="D39:F39"/>
    <mergeCell ref="A41:F41"/>
    <mergeCell ref="A42:F42"/>
    <mergeCell ref="A54:B54"/>
    <mergeCell ref="D54:F54"/>
    <mergeCell ref="A31:B31"/>
    <mergeCell ref="D31:F31"/>
    <mergeCell ref="A33:F33"/>
    <mergeCell ref="A34:F34"/>
    <mergeCell ref="A38:B38"/>
    <mergeCell ref="D38:F38"/>
    <mergeCell ref="A24:B24"/>
    <mergeCell ref="D24:F24"/>
    <mergeCell ref="A26:F26"/>
    <mergeCell ref="A27:F27"/>
    <mergeCell ref="A30:B30"/>
    <mergeCell ref="D30:F30"/>
    <mergeCell ref="A13:B13"/>
    <mergeCell ref="D13:F13"/>
    <mergeCell ref="A15:F15"/>
    <mergeCell ref="A16:F16"/>
    <mergeCell ref="A23:B23"/>
    <mergeCell ref="D23:F23"/>
    <mergeCell ref="A1:F1"/>
    <mergeCell ref="A2:F2"/>
    <mergeCell ref="A4:F4"/>
    <mergeCell ref="A5:F5"/>
    <mergeCell ref="A12:B12"/>
    <mergeCell ref="D12:F1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36"/>
  <sheetViews>
    <sheetView topLeftCell="A2" workbookViewId="0">
      <selection activeCell="M20" sqref="A1:XFD1048576"/>
    </sheetView>
  </sheetViews>
  <sheetFormatPr defaultRowHeight="14.25"/>
  <cols>
    <col min="1" max="1" width="16" style="24" customWidth="1"/>
    <col min="2" max="2" width="33.25" style="24" customWidth="1"/>
    <col min="3" max="3" width="60" style="24" customWidth="1"/>
    <col min="4" max="6" width="12" style="24" customWidth="1"/>
    <col min="7" max="16384" width="9" style="24"/>
  </cols>
  <sheetData>
    <row r="1" spans="1:6" ht="33.950000000000003" customHeight="1">
      <c r="A1" s="71" t="s">
        <v>656</v>
      </c>
      <c r="B1" s="71"/>
      <c r="C1" s="71"/>
      <c r="D1" s="71"/>
      <c r="E1" s="71"/>
      <c r="F1" s="71"/>
    </row>
    <row r="2" spans="1:6" ht="21.95" customHeight="1">
      <c r="A2" s="95" t="s">
        <v>1410</v>
      </c>
      <c r="B2" s="95"/>
      <c r="C2" s="95"/>
      <c r="D2" s="95"/>
      <c r="E2" s="95"/>
      <c r="F2" s="95"/>
    </row>
    <row r="4" spans="1:6" ht="24" customHeight="1">
      <c r="A4" s="106" t="s">
        <v>1411</v>
      </c>
      <c r="B4" s="106"/>
      <c r="C4" s="106"/>
      <c r="D4" s="106"/>
      <c r="E4" s="106"/>
      <c r="F4" s="106"/>
    </row>
    <row r="5" spans="1:6" ht="21.95" customHeight="1">
      <c r="A5" s="25" t="s">
        <v>1412</v>
      </c>
      <c r="B5" s="25" t="s">
        <v>1413</v>
      </c>
      <c r="C5" s="25" t="s">
        <v>1414</v>
      </c>
      <c r="D5" s="25"/>
      <c r="E5" s="25"/>
      <c r="F5" s="25"/>
    </row>
    <row r="6" spans="1:6" ht="29.1" customHeight="1">
      <c r="A6" s="26" t="s">
        <v>657</v>
      </c>
      <c r="B6" s="26" t="s">
        <v>658</v>
      </c>
      <c r="C6" s="26" t="s">
        <v>1415</v>
      </c>
      <c r="D6" s="26"/>
      <c r="E6" s="26"/>
      <c r="F6" s="26"/>
    </row>
    <row r="7" spans="1:6" ht="29.1" customHeight="1">
      <c r="A7" s="27" t="s">
        <v>659</v>
      </c>
      <c r="B7" s="27" t="s">
        <v>660</v>
      </c>
      <c r="C7" s="27"/>
      <c r="D7" s="27"/>
      <c r="E7" s="27"/>
      <c r="F7" s="27"/>
    </row>
    <row r="8" spans="1:6" ht="29.1" customHeight="1">
      <c r="A8" s="26" t="s">
        <v>661</v>
      </c>
      <c r="B8" s="26" t="s">
        <v>662</v>
      </c>
      <c r="C8" s="26"/>
      <c r="D8" s="26"/>
      <c r="E8" s="26"/>
      <c r="F8" s="26"/>
    </row>
    <row r="9" spans="1:6" ht="29.1" customHeight="1">
      <c r="A9" s="27" t="s">
        <v>663</v>
      </c>
      <c r="B9" s="27" t="s">
        <v>664</v>
      </c>
      <c r="C9" s="27"/>
      <c r="D9" s="27"/>
      <c r="E9" s="27"/>
      <c r="F9" s="27"/>
    </row>
    <row r="10" spans="1:6" ht="29.1" customHeight="1">
      <c r="A10" s="26" t="s">
        <v>665</v>
      </c>
      <c r="B10" s="26" t="s">
        <v>666</v>
      </c>
      <c r="C10" s="26"/>
      <c r="D10" s="26"/>
      <c r="E10" s="26"/>
      <c r="F10" s="26"/>
    </row>
    <row r="12" spans="1:6" ht="24" customHeight="1">
      <c r="A12" s="106" t="s">
        <v>1416</v>
      </c>
      <c r="B12" s="106"/>
      <c r="C12" s="106"/>
      <c r="D12" s="106"/>
      <c r="E12" s="106"/>
      <c r="F12" s="106"/>
    </row>
    <row r="13" spans="1:6" ht="21.95" customHeight="1">
      <c r="A13" s="25" t="s">
        <v>1412</v>
      </c>
      <c r="B13" s="25" t="s">
        <v>1413</v>
      </c>
      <c r="C13" s="25" t="s">
        <v>1414</v>
      </c>
      <c r="D13" s="25"/>
      <c r="E13" s="25"/>
      <c r="F13" s="25"/>
    </row>
    <row r="14" spans="1:6" ht="29.1" customHeight="1">
      <c r="A14" s="26" t="s">
        <v>667</v>
      </c>
      <c r="B14" s="26" t="s">
        <v>1417</v>
      </c>
      <c r="C14" s="26" t="s">
        <v>1418</v>
      </c>
      <c r="D14" s="26"/>
      <c r="E14" s="26"/>
      <c r="F14" s="26"/>
    </row>
    <row r="15" spans="1:6" ht="29.1" customHeight="1">
      <c r="A15" s="27" t="s">
        <v>668</v>
      </c>
      <c r="B15" s="27" t="s">
        <v>1419</v>
      </c>
      <c r="C15" s="27"/>
      <c r="D15" s="27"/>
      <c r="E15" s="27"/>
      <c r="F15" s="27"/>
    </row>
    <row r="16" spans="1:6" ht="29.1" customHeight="1">
      <c r="A16" s="26" t="s">
        <v>669</v>
      </c>
      <c r="B16" s="26" t="s">
        <v>1420</v>
      </c>
      <c r="C16" s="26"/>
      <c r="D16" s="26"/>
      <c r="E16" s="26"/>
      <c r="F16" s="26"/>
    </row>
    <row r="18" spans="1:6" ht="24" customHeight="1">
      <c r="A18" s="106" t="s">
        <v>1421</v>
      </c>
      <c r="B18" s="106"/>
      <c r="C18" s="106"/>
      <c r="D18" s="106"/>
      <c r="E18" s="106"/>
      <c r="F18" s="106"/>
    </row>
    <row r="19" spans="1:6" ht="21.95" customHeight="1">
      <c r="A19" s="25" t="s">
        <v>1412</v>
      </c>
      <c r="B19" s="25" t="s">
        <v>1413</v>
      </c>
      <c r="C19" s="25" t="s">
        <v>1414</v>
      </c>
      <c r="D19" s="25"/>
      <c r="E19" s="25"/>
      <c r="F19" s="25"/>
    </row>
    <row r="20" spans="1:6" ht="29.1" customHeight="1">
      <c r="A20" s="26" t="s">
        <v>670</v>
      </c>
      <c r="B20" s="26" t="s">
        <v>1422</v>
      </c>
      <c r="C20" s="26"/>
      <c r="D20" s="26"/>
      <c r="E20" s="26"/>
      <c r="F20" s="26"/>
    </row>
    <row r="21" spans="1:6" ht="29.1" customHeight="1">
      <c r="A21" s="27" t="s">
        <v>671</v>
      </c>
      <c r="B21" s="27" t="s">
        <v>1423</v>
      </c>
      <c r="C21" s="27"/>
      <c r="D21" s="27"/>
      <c r="E21" s="27"/>
      <c r="F21" s="27"/>
    </row>
    <row r="22" spans="1:6" ht="29.1" customHeight="1">
      <c r="A22" s="26" t="s">
        <v>672</v>
      </c>
      <c r="B22" s="26" t="s">
        <v>1424</v>
      </c>
      <c r="C22" s="26"/>
      <c r="D22" s="26"/>
      <c r="E22" s="26"/>
      <c r="F22" s="26"/>
    </row>
    <row r="23" spans="1:6" ht="29.1" customHeight="1">
      <c r="A23" s="27" t="s">
        <v>673</v>
      </c>
      <c r="B23" s="27" t="s">
        <v>1425</v>
      </c>
      <c r="C23" s="27"/>
      <c r="D23" s="27"/>
      <c r="E23" s="27"/>
      <c r="F23" s="27"/>
    </row>
    <row r="24" spans="1:6" ht="29.1" customHeight="1">
      <c r="A24" s="26" t="s">
        <v>674</v>
      </c>
      <c r="B24" s="26" t="s">
        <v>1426</v>
      </c>
      <c r="C24" s="26"/>
      <c r="D24" s="26"/>
      <c r="E24" s="26"/>
      <c r="F24" s="26"/>
    </row>
    <row r="25" spans="1:6" ht="29.1" customHeight="1">
      <c r="A25" s="27" t="s">
        <v>675</v>
      </c>
      <c r="B25" s="27" t="s">
        <v>1427</v>
      </c>
      <c r="C25" s="27"/>
      <c r="D25" s="27"/>
      <c r="E25" s="27"/>
      <c r="F25" s="27"/>
    </row>
    <row r="27" spans="1:6" ht="24" customHeight="1">
      <c r="A27" s="106" t="s">
        <v>1428</v>
      </c>
      <c r="B27" s="106"/>
      <c r="C27" s="106"/>
      <c r="D27" s="106"/>
      <c r="E27" s="106"/>
      <c r="F27" s="106"/>
    </row>
    <row r="28" spans="1:6" ht="21.95" customHeight="1">
      <c r="A28" s="25" t="s">
        <v>1412</v>
      </c>
      <c r="B28" s="25" t="s">
        <v>1413</v>
      </c>
      <c r="C28" s="25" t="s">
        <v>1414</v>
      </c>
      <c r="D28" s="25"/>
      <c r="E28" s="25"/>
      <c r="F28" s="25"/>
    </row>
    <row r="29" spans="1:6" ht="29.1" customHeight="1">
      <c r="A29" s="26" t="s">
        <v>676</v>
      </c>
      <c r="B29" s="26" t="s">
        <v>1429</v>
      </c>
      <c r="C29" s="26" t="s">
        <v>1430</v>
      </c>
      <c r="D29" s="26"/>
      <c r="E29" s="26"/>
      <c r="F29" s="26"/>
    </row>
    <row r="30" spans="1:6" ht="29.1" customHeight="1">
      <c r="A30" s="27" t="s">
        <v>81</v>
      </c>
      <c r="B30" s="27" t="s">
        <v>1431</v>
      </c>
      <c r="C30" s="27" t="s">
        <v>1432</v>
      </c>
      <c r="D30" s="27"/>
      <c r="E30" s="27"/>
      <c r="F30" s="27"/>
    </row>
    <row r="31" spans="1:6" ht="29.1" customHeight="1">
      <c r="A31" s="26" t="s">
        <v>85</v>
      </c>
      <c r="B31" s="26" t="s">
        <v>1433</v>
      </c>
      <c r="C31" s="26" t="s">
        <v>1434</v>
      </c>
      <c r="D31" s="26"/>
      <c r="E31" s="26"/>
      <c r="F31" s="26"/>
    </row>
    <row r="32" spans="1:6" ht="29.1" customHeight="1">
      <c r="A32" s="27" t="s">
        <v>121</v>
      </c>
      <c r="B32" s="27" t="s">
        <v>1435</v>
      </c>
      <c r="C32" s="27" t="s">
        <v>1436</v>
      </c>
      <c r="D32" s="27"/>
      <c r="E32" s="27"/>
      <c r="F32" s="27"/>
    </row>
    <row r="33" spans="1:6" ht="29.1" customHeight="1">
      <c r="A33" s="26" t="s">
        <v>124</v>
      </c>
      <c r="B33" s="26" t="s">
        <v>1437</v>
      </c>
      <c r="C33" s="26" t="s">
        <v>1438</v>
      </c>
      <c r="D33" s="26"/>
      <c r="E33" s="26"/>
      <c r="F33" s="26"/>
    </row>
    <row r="34" spans="1:6" ht="29.1" customHeight="1">
      <c r="A34" s="27" t="s">
        <v>128</v>
      </c>
      <c r="B34" s="27" t="s">
        <v>1439</v>
      </c>
      <c r="C34" s="27" t="s">
        <v>1440</v>
      </c>
      <c r="D34" s="27"/>
      <c r="E34" s="27"/>
      <c r="F34" s="27"/>
    </row>
    <row r="35" spans="1:6" ht="29.1" customHeight="1">
      <c r="A35" s="26" t="s">
        <v>222</v>
      </c>
      <c r="B35" s="26" t="s">
        <v>1441</v>
      </c>
      <c r="C35" s="26" t="s">
        <v>1442</v>
      </c>
      <c r="D35" s="26"/>
      <c r="E35" s="26"/>
      <c r="F35" s="26"/>
    </row>
    <row r="37" spans="1:6" ht="24" customHeight="1">
      <c r="A37" s="106" t="s">
        <v>1443</v>
      </c>
      <c r="B37" s="106"/>
      <c r="C37" s="106"/>
      <c r="D37" s="106"/>
      <c r="E37" s="106"/>
      <c r="F37" s="106"/>
    </row>
    <row r="38" spans="1:6" ht="21.95" customHeight="1">
      <c r="A38" s="25" t="s">
        <v>1412</v>
      </c>
      <c r="B38" s="25" t="s">
        <v>1413</v>
      </c>
      <c r="C38" s="25" t="s">
        <v>1414</v>
      </c>
      <c r="D38" s="25"/>
      <c r="E38" s="25"/>
      <c r="F38" s="25"/>
    </row>
    <row r="39" spans="1:6" ht="29.1" customHeight="1">
      <c r="A39" s="26" t="s">
        <v>676</v>
      </c>
      <c r="B39" s="26" t="s">
        <v>1444</v>
      </c>
      <c r="C39" s="26" t="s">
        <v>1445</v>
      </c>
      <c r="D39" s="26"/>
      <c r="E39" s="26"/>
      <c r="F39" s="26"/>
    </row>
    <row r="40" spans="1:6" ht="29.1" customHeight="1">
      <c r="A40" s="27" t="s">
        <v>81</v>
      </c>
      <c r="B40" s="27" t="s">
        <v>1446</v>
      </c>
      <c r="C40" s="27" t="s">
        <v>1447</v>
      </c>
      <c r="D40" s="27"/>
      <c r="E40" s="27"/>
      <c r="F40" s="27"/>
    </row>
    <row r="41" spans="1:6" ht="29.1" customHeight="1">
      <c r="A41" s="26" t="s">
        <v>85</v>
      </c>
      <c r="B41" s="26" t="s">
        <v>1448</v>
      </c>
      <c r="C41" s="26" t="s">
        <v>1449</v>
      </c>
      <c r="D41" s="26"/>
      <c r="E41" s="26"/>
      <c r="F41" s="26"/>
    </row>
    <row r="42" spans="1:6" ht="29.1" customHeight="1">
      <c r="A42" s="27" t="s">
        <v>121</v>
      </c>
      <c r="B42" s="27" t="s">
        <v>1450</v>
      </c>
      <c r="C42" s="27" t="s">
        <v>1451</v>
      </c>
      <c r="D42" s="27"/>
      <c r="E42" s="27"/>
      <c r="F42" s="27"/>
    </row>
    <row r="44" spans="1:6" ht="24" customHeight="1">
      <c r="A44" s="106" t="s">
        <v>1452</v>
      </c>
      <c r="B44" s="106"/>
      <c r="C44" s="106"/>
      <c r="D44" s="106"/>
      <c r="E44" s="106"/>
      <c r="F44" s="106"/>
    </row>
    <row r="45" spans="1:6" ht="21.95" customHeight="1">
      <c r="A45" s="25" t="s">
        <v>1412</v>
      </c>
      <c r="B45" s="25" t="s">
        <v>1413</v>
      </c>
      <c r="C45" s="25" t="s">
        <v>1414</v>
      </c>
      <c r="D45" s="25"/>
      <c r="E45" s="25"/>
      <c r="F45" s="25"/>
    </row>
    <row r="46" spans="1:6" ht="29.1" customHeight="1">
      <c r="A46" s="26" t="s">
        <v>676</v>
      </c>
      <c r="B46" s="26" t="s">
        <v>677</v>
      </c>
      <c r="C46" s="26" t="s">
        <v>1453</v>
      </c>
      <c r="D46" s="26"/>
      <c r="E46" s="26"/>
      <c r="F46" s="26"/>
    </row>
    <row r="47" spans="1:6" ht="29.1" customHeight="1">
      <c r="A47" s="27" t="s">
        <v>81</v>
      </c>
      <c r="B47" s="27" t="s">
        <v>678</v>
      </c>
      <c r="C47" s="27" t="s">
        <v>1454</v>
      </c>
      <c r="D47" s="27"/>
      <c r="E47" s="27"/>
      <c r="F47" s="27"/>
    </row>
    <row r="49" spans="1:6" ht="24" customHeight="1">
      <c r="A49" s="106" t="s">
        <v>1455</v>
      </c>
      <c r="B49" s="106"/>
      <c r="C49" s="106"/>
      <c r="D49" s="106"/>
      <c r="E49" s="106"/>
      <c r="F49" s="106"/>
    </row>
    <row r="50" spans="1:6" ht="21.95" customHeight="1">
      <c r="A50" s="25" t="s">
        <v>1412</v>
      </c>
      <c r="B50" s="25" t="s">
        <v>1413</v>
      </c>
      <c r="C50" s="25" t="s">
        <v>1414</v>
      </c>
      <c r="D50" s="25"/>
      <c r="E50" s="25"/>
      <c r="F50" s="25"/>
    </row>
    <row r="51" spans="1:6" ht="29.1" customHeight="1">
      <c r="A51" s="26" t="s">
        <v>676</v>
      </c>
      <c r="B51" s="26" t="s">
        <v>679</v>
      </c>
      <c r="C51" s="26" t="s">
        <v>1456</v>
      </c>
      <c r="D51" s="26"/>
      <c r="E51" s="26"/>
      <c r="F51" s="26"/>
    </row>
    <row r="52" spans="1:6" ht="29.1" customHeight="1">
      <c r="A52" s="27" t="s">
        <v>81</v>
      </c>
      <c r="B52" s="27" t="s">
        <v>680</v>
      </c>
      <c r="C52" s="27" t="s">
        <v>1457</v>
      </c>
      <c r="D52" s="27"/>
      <c r="E52" s="27"/>
      <c r="F52" s="27"/>
    </row>
    <row r="53" spans="1:6" ht="29.1" customHeight="1">
      <c r="A53" s="26" t="s">
        <v>85</v>
      </c>
      <c r="B53" s="26" t="s">
        <v>681</v>
      </c>
      <c r="C53" s="26" t="s">
        <v>1458</v>
      </c>
      <c r="D53" s="26"/>
      <c r="E53" s="26"/>
      <c r="F53" s="26"/>
    </row>
    <row r="55" spans="1:6" ht="24" customHeight="1">
      <c r="A55" s="106" t="s">
        <v>1459</v>
      </c>
      <c r="B55" s="106"/>
      <c r="C55" s="106"/>
      <c r="D55" s="106"/>
      <c r="E55" s="106"/>
      <c r="F55" s="106"/>
    </row>
    <row r="56" spans="1:6" ht="21.95" customHeight="1">
      <c r="A56" s="25" t="s">
        <v>1412</v>
      </c>
      <c r="B56" s="25" t="s">
        <v>1413</v>
      </c>
      <c r="C56" s="25" t="s">
        <v>1414</v>
      </c>
      <c r="D56" s="25"/>
      <c r="E56" s="25"/>
      <c r="F56" s="25"/>
    </row>
    <row r="57" spans="1:6" ht="29.1" customHeight="1">
      <c r="A57" s="26" t="s">
        <v>676</v>
      </c>
      <c r="B57" s="26" t="s">
        <v>682</v>
      </c>
      <c r="C57" s="26" t="s">
        <v>1460</v>
      </c>
      <c r="D57" s="26"/>
      <c r="E57" s="26"/>
      <c r="F57" s="26"/>
    </row>
    <row r="58" spans="1:6" ht="29.1" customHeight="1">
      <c r="A58" s="27" t="s">
        <v>81</v>
      </c>
      <c r="B58" s="27" t="s">
        <v>683</v>
      </c>
      <c r="C58" s="27" t="s">
        <v>1461</v>
      </c>
      <c r="D58" s="27"/>
      <c r="E58" s="27"/>
      <c r="F58" s="27"/>
    </row>
    <row r="60" spans="1:6" ht="24" customHeight="1">
      <c r="A60" s="106" t="s">
        <v>1462</v>
      </c>
      <c r="B60" s="106"/>
      <c r="C60" s="106"/>
      <c r="D60" s="106"/>
      <c r="E60" s="106"/>
      <c r="F60" s="106"/>
    </row>
    <row r="61" spans="1:6" ht="21.95" customHeight="1">
      <c r="A61" s="25" t="s">
        <v>1412</v>
      </c>
      <c r="B61" s="25" t="s">
        <v>1413</v>
      </c>
      <c r="C61" s="25" t="s">
        <v>1414</v>
      </c>
      <c r="D61" s="25"/>
      <c r="E61" s="25"/>
      <c r="F61" s="25"/>
    </row>
    <row r="62" spans="1:6" ht="29.1" customHeight="1">
      <c r="A62" s="26" t="s">
        <v>676</v>
      </c>
      <c r="B62" s="26" t="s">
        <v>684</v>
      </c>
      <c r="C62" s="26" t="s">
        <v>1463</v>
      </c>
      <c r="D62" s="26"/>
      <c r="E62" s="26"/>
      <c r="F62" s="26"/>
    </row>
    <row r="63" spans="1:6" ht="29.1" customHeight="1">
      <c r="A63" s="27" t="s">
        <v>81</v>
      </c>
      <c r="B63" s="27" t="s">
        <v>685</v>
      </c>
      <c r="C63" s="27" t="s">
        <v>1464</v>
      </c>
      <c r="D63" s="27"/>
      <c r="E63" s="27"/>
      <c r="F63" s="27"/>
    </row>
    <row r="64" spans="1:6" ht="29.1" customHeight="1">
      <c r="A64" s="26" t="s">
        <v>85</v>
      </c>
      <c r="B64" s="26" t="s">
        <v>686</v>
      </c>
      <c r="C64" s="26" t="s">
        <v>1465</v>
      </c>
      <c r="D64" s="26"/>
      <c r="E64" s="26"/>
      <c r="F64" s="26"/>
    </row>
    <row r="66" spans="1:6" ht="24" customHeight="1">
      <c r="A66" s="106" t="s">
        <v>1466</v>
      </c>
      <c r="B66" s="106"/>
      <c r="C66" s="106"/>
      <c r="D66" s="106"/>
      <c r="E66" s="106"/>
      <c r="F66" s="106"/>
    </row>
    <row r="67" spans="1:6" ht="21.95" customHeight="1">
      <c r="A67" s="25" t="s">
        <v>1412</v>
      </c>
      <c r="B67" s="25" t="s">
        <v>1413</v>
      </c>
      <c r="C67" s="25" t="s">
        <v>1414</v>
      </c>
      <c r="D67" s="25"/>
      <c r="E67" s="25"/>
      <c r="F67" s="25"/>
    </row>
    <row r="68" spans="1:6" ht="29.1" customHeight="1">
      <c r="A68" s="26" t="s">
        <v>81</v>
      </c>
      <c r="B68" s="26" t="s">
        <v>687</v>
      </c>
      <c r="C68" s="26" t="s">
        <v>1467</v>
      </c>
      <c r="D68" s="26"/>
      <c r="E68" s="26"/>
      <c r="F68" s="26"/>
    </row>
    <row r="69" spans="1:6" ht="29.1" customHeight="1">
      <c r="A69" s="27" t="s">
        <v>85</v>
      </c>
      <c r="B69" s="27" t="s">
        <v>688</v>
      </c>
      <c r="C69" s="27" t="s">
        <v>1468</v>
      </c>
      <c r="D69" s="27"/>
      <c r="E69" s="27"/>
      <c r="F69" s="27"/>
    </row>
    <row r="70" spans="1:6" ht="29.1" customHeight="1">
      <c r="A70" s="26" t="s">
        <v>121</v>
      </c>
      <c r="B70" s="26" t="s">
        <v>689</v>
      </c>
      <c r="C70" s="26" t="s">
        <v>1469</v>
      </c>
      <c r="D70" s="26"/>
      <c r="E70" s="26"/>
      <c r="F70" s="26"/>
    </row>
    <row r="71" spans="1:6" ht="29.1" customHeight="1">
      <c r="A71" s="27" t="s">
        <v>124</v>
      </c>
      <c r="B71" s="27" t="s">
        <v>686</v>
      </c>
      <c r="C71" s="27" t="s">
        <v>1470</v>
      </c>
      <c r="D71" s="27"/>
      <c r="E71" s="27"/>
      <c r="F71" s="27"/>
    </row>
    <row r="72" spans="1:6" ht="29.1" customHeight="1">
      <c r="A72" s="26" t="s">
        <v>128</v>
      </c>
      <c r="B72" s="26" t="s">
        <v>690</v>
      </c>
      <c r="C72" s="26" t="s">
        <v>1471</v>
      </c>
      <c r="D72" s="26"/>
      <c r="E72" s="26"/>
      <c r="F72" s="26"/>
    </row>
    <row r="74" spans="1:6" ht="24" customHeight="1">
      <c r="A74" s="106" t="s">
        <v>1472</v>
      </c>
      <c r="B74" s="106"/>
      <c r="C74" s="106"/>
      <c r="D74" s="106"/>
      <c r="E74" s="106"/>
      <c r="F74" s="106"/>
    </row>
    <row r="75" spans="1:6" ht="21.95" customHeight="1">
      <c r="A75" s="25" t="s">
        <v>1412</v>
      </c>
      <c r="B75" s="25" t="s">
        <v>1413</v>
      </c>
      <c r="C75" s="25" t="s">
        <v>1414</v>
      </c>
      <c r="D75" s="25"/>
      <c r="E75" s="25"/>
      <c r="F75" s="25"/>
    </row>
    <row r="76" spans="1:6" ht="29.1" customHeight="1">
      <c r="A76" s="26" t="s">
        <v>137</v>
      </c>
      <c r="B76" s="26" t="s">
        <v>691</v>
      </c>
      <c r="C76" s="26" t="s">
        <v>1473</v>
      </c>
      <c r="D76" s="26"/>
      <c r="E76" s="26"/>
      <c r="F76" s="26"/>
    </row>
    <row r="77" spans="1:6" ht="29.1" customHeight="1">
      <c r="A77" s="27" t="s">
        <v>141</v>
      </c>
      <c r="B77" s="27" t="s">
        <v>692</v>
      </c>
      <c r="C77" s="27" t="s">
        <v>1474</v>
      </c>
      <c r="D77" s="27"/>
      <c r="E77" s="27"/>
      <c r="F77" s="27"/>
    </row>
    <row r="78" spans="1:6" ht="29.1" customHeight="1">
      <c r="A78" s="26" t="s">
        <v>186</v>
      </c>
      <c r="B78" s="26" t="s">
        <v>693</v>
      </c>
      <c r="C78" s="26" t="s">
        <v>1475</v>
      </c>
      <c r="D78" s="26"/>
      <c r="E78" s="26"/>
      <c r="F78" s="26"/>
    </row>
    <row r="80" spans="1:6" ht="24" customHeight="1">
      <c r="A80" s="106" t="s">
        <v>1476</v>
      </c>
      <c r="B80" s="106"/>
      <c r="C80" s="106"/>
      <c r="D80" s="106"/>
      <c r="E80" s="106"/>
      <c r="F80" s="106"/>
    </row>
    <row r="81" spans="1:6" ht="21.95" customHeight="1">
      <c r="A81" s="25" t="s">
        <v>1412</v>
      </c>
      <c r="B81" s="25" t="s">
        <v>1413</v>
      </c>
      <c r="C81" s="25" t="s">
        <v>1414</v>
      </c>
      <c r="D81" s="25"/>
      <c r="E81" s="25"/>
      <c r="F81" s="25"/>
    </row>
    <row r="82" spans="1:6" ht="29.1" customHeight="1">
      <c r="A82" s="26" t="s">
        <v>676</v>
      </c>
      <c r="B82" s="26" t="s">
        <v>694</v>
      </c>
      <c r="C82" s="26" t="s">
        <v>1477</v>
      </c>
      <c r="D82" s="26"/>
      <c r="E82" s="26"/>
      <c r="F82" s="26"/>
    </row>
    <row r="83" spans="1:6" ht="29.1" customHeight="1">
      <c r="A83" s="27" t="s">
        <v>81</v>
      </c>
      <c r="B83" s="27" t="s">
        <v>695</v>
      </c>
      <c r="C83" s="27" t="s">
        <v>1478</v>
      </c>
      <c r="D83" s="27"/>
      <c r="E83" s="27"/>
      <c r="F83" s="27"/>
    </row>
    <row r="84" spans="1:6" ht="29.1" customHeight="1">
      <c r="A84" s="26" t="s">
        <v>85</v>
      </c>
      <c r="B84" s="26" t="s">
        <v>696</v>
      </c>
      <c r="C84" s="26" t="s">
        <v>1479</v>
      </c>
      <c r="D84" s="26"/>
      <c r="E84" s="26"/>
      <c r="F84" s="26"/>
    </row>
    <row r="85" spans="1:6" ht="29.1" customHeight="1">
      <c r="A85" s="27" t="s">
        <v>121</v>
      </c>
      <c r="B85" s="27" t="s">
        <v>697</v>
      </c>
      <c r="C85" s="27" t="s">
        <v>1480</v>
      </c>
      <c r="D85" s="27"/>
      <c r="E85" s="27"/>
      <c r="F85" s="27"/>
    </row>
    <row r="86" spans="1:6" ht="29.1" customHeight="1">
      <c r="A86" s="26" t="s">
        <v>124</v>
      </c>
      <c r="B86" s="26" t="s">
        <v>698</v>
      </c>
      <c r="C86" s="26" t="s">
        <v>1481</v>
      </c>
      <c r="D86" s="26"/>
      <c r="E86" s="26"/>
      <c r="F86" s="26"/>
    </row>
    <row r="87" spans="1:6" ht="29.1" customHeight="1">
      <c r="A87" s="27" t="s">
        <v>699</v>
      </c>
      <c r="B87" s="27" t="s">
        <v>700</v>
      </c>
      <c r="C87" s="27" t="s">
        <v>1482</v>
      </c>
      <c r="D87" s="27"/>
      <c r="E87" s="27"/>
      <c r="F87" s="27"/>
    </row>
    <row r="89" spans="1:6" ht="24" customHeight="1">
      <c r="A89" s="106" t="s">
        <v>1483</v>
      </c>
      <c r="B89" s="106"/>
      <c r="C89" s="106"/>
      <c r="D89" s="106"/>
      <c r="E89" s="106"/>
      <c r="F89" s="106"/>
    </row>
    <row r="90" spans="1:6" ht="21.95" customHeight="1">
      <c r="A90" s="25" t="s">
        <v>1412</v>
      </c>
      <c r="B90" s="25" t="s">
        <v>1413</v>
      </c>
      <c r="C90" s="25" t="s">
        <v>1414</v>
      </c>
      <c r="D90" s="25"/>
      <c r="E90" s="25"/>
      <c r="F90" s="25"/>
    </row>
    <row r="91" spans="1:6" ht="29.1" customHeight="1">
      <c r="A91" s="26" t="s">
        <v>676</v>
      </c>
      <c r="B91" s="26" t="s">
        <v>701</v>
      </c>
      <c r="C91" s="26" t="s">
        <v>1484</v>
      </c>
      <c r="D91" s="26"/>
      <c r="E91" s="26"/>
      <c r="F91" s="26"/>
    </row>
    <row r="92" spans="1:6" ht="29.1" customHeight="1">
      <c r="A92" s="27" t="s">
        <v>81</v>
      </c>
      <c r="B92" s="27" t="s">
        <v>702</v>
      </c>
      <c r="C92" s="27" t="s">
        <v>1485</v>
      </c>
      <c r="D92" s="27"/>
      <c r="E92" s="27"/>
      <c r="F92" s="27"/>
    </row>
    <row r="93" spans="1:6" ht="29.1" customHeight="1">
      <c r="A93" s="26" t="s">
        <v>85</v>
      </c>
      <c r="B93" s="26" t="s">
        <v>703</v>
      </c>
      <c r="C93" s="26" t="s">
        <v>1486</v>
      </c>
      <c r="D93" s="26"/>
      <c r="E93" s="26"/>
      <c r="F93" s="26"/>
    </row>
    <row r="94" spans="1:6" ht="29.1" customHeight="1">
      <c r="A94" s="27" t="s">
        <v>121</v>
      </c>
      <c r="B94" s="27" t="s">
        <v>704</v>
      </c>
      <c r="C94" s="27" t="s">
        <v>1487</v>
      </c>
      <c r="D94" s="27"/>
      <c r="E94" s="27"/>
      <c r="F94" s="27"/>
    </row>
    <row r="95" spans="1:6" ht="29.1" customHeight="1">
      <c r="A95" s="26" t="s">
        <v>124</v>
      </c>
      <c r="B95" s="26" t="s">
        <v>705</v>
      </c>
      <c r="C95" s="26" t="s">
        <v>1488</v>
      </c>
      <c r="D95" s="26"/>
      <c r="E95" s="26"/>
      <c r="F95" s="26"/>
    </row>
    <row r="96" spans="1:6" ht="29.1" customHeight="1">
      <c r="A96" s="27" t="s">
        <v>699</v>
      </c>
      <c r="B96" s="27" t="s">
        <v>706</v>
      </c>
      <c r="C96" s="27" t="s">
        <v>1489</v>
      </c>
      <c r="D96" s="27"/>
      <c r="E96" s="27"/>
      <c r="F96" s="27"/>
    </row>
    <row r="98" spans="1:6" ht="24" customHeight="1">
      <c r="A98" s="106" t="s">
        <v>1490</v>
      </c>
      <c r="B98" s="106"/>
      <c r="C98" s="106"/>
      <c r="D98" s="106"/>
      <c r="E98" s="106"/>
      <c r="F98" s="106"/>
    </row>
    <row r="99" spans="1:6" ht="21.95" customHeight="1">
      <c r="A99" s="25" t="s">
        <v>1412</v>
      </c>
      <c r="B99" s="25" t="s">
        <v>1413</v>
      </c>
      <c r="C99" s="25" t="s">
        <v>1414</v>
      </c>
      <c r="D99" s="25"/>
      <c r="E99" s="25"/>
      <c r="F99" s="25"/>
    </row>
    <row r="100" spans="1:6" ht="29.1" customHeight="1">
      <c r="A100" s="26" t="s">
        <v>676</v>
      </c>
      <c r="B100" s="26" t="s">
        <v>707</v>
      </c>
      <c r="C100" s="26" t="s">
        <v>1491</v>
      </c>
      <c r="D100" s="26"/>
      <c r="E100" s="26"/>
      <c r="F100" s="26"/>
    </row>
    <row r="101" spans="1:6" ht="29.1" customHeight="1">
      <c r="A101" s="27" t="s">
        <v>81</v>
      </c>
      <c r="B101" s="27" t="s">
        <v>708</v>
      </c>
      <c r="C101" s="27" t="s">
        <v>1492</v>
      </c>
      <c r="D101" s="27"/>
      <c r="E101" s="27"/>
      <c r="F101" s="27"/>
    </row>
    <row r="102" spans="1:6" ht="29.1" customHeight="1">
      <c r="A102" s="26" t="s">
        <v>85</v>
      </c>
      <c r="B102" s="26" t="s">
        <v>709</v>
      </c>
      <c r="C102" s="26" t="s">
        <v>1493</v>
      </c>
      <c r="D102" s="26"/>
      <c r="E102" s="26"/>
      <c r="F102" s="26"/>
    </row>
    <row r="103" spans="1:6" ht="29.1" customHeight="1">
      <c r="A103" s="27" t="s">
        <v>121</v>
      </c>
      <c r="B103" s="27" t="s">
        <v>710</v>
      </c>
      <c r="C103" s="27" t="s">
        <v>1494</v>
      </c>
      <c r="D103" s="27"/>
      <c r="E103" s="27"/>
      <c r="F103" s="27"/>
    </row>
    <row r="104" spans="1:6" ht="29.1" customHeight="1">
      <c r="A104" s="26" t="s">
        <v>124</v>
      </c>
      <c r="B104" s="26" t="s">
        <v>711</v>
      </c>
      <c r="C104" s="26" t="s">
        <v>1495</v>
      </c>
      <c r="D104" s="26"/>
      <c r="E104" s="26"/>
      <c r="F104" s="26"/>
    </row>
    <row r="105" spans="1:6" ht="29.1" customHeight="1">
      <c r="A105" s="27" t="s">
        <v>699</v>
      </c>
      <c r="B105" s="27" t="s">
        <v>706</v>
      </c>
      <c r="C105" s="27" t="s">
        <v>1496</v>
      </c>
      <c r="D105" s="27"/>
      <c r="E105" s="27"/>
      <c r="F105" s="27"/>
    </row>
    <row r="107" spans="1:6" ht="24" customHeight="1">
      <c r="A107" s="106" t="s">
        <v>1497</v>
      </c>
      <c r="B107" s="106"/>
      <c r="C107" s="106"/>
      <c r="D107" s="106"/>
      <c r="E107" s="106"/>
      <c r="F107" s="106"/>
    </row>
    <row r="108" spans="1:6" ht="21.95" customHeight="1">
      <c r="A108" s="25" t="s">
        <v>1412</v>
      </c>
      <c r="B108" s="25" t="s">
        <v>1413</v>
      </c>
      <c r="C108" s="25" t="s">
        <v>1414</v>
      </c>
      <c r="D108" s="25"/>
      <c r="E108" s="25"/>
      <c r="F108" s="25"/>
    </row>
    <row r="109" spans="1:6" ht="29.1" customHeight="1">
      <c r="A109" s="26" t="s">
        <v>712</v>
      </c>
      <c r="B109" s="26" t="s">
        <v>713</v>
      </c>
      <c r="C109" s="26" t="s">
        <v>1498</v>
      </c>
      <c r="D109" s="26"/>
      <c r="E109" s="26"/>
      <c r="F109" s="26"/>
    </row>
    <row r="110" spans="1:6" ht="29.1" customHeight="1">
      <c r="A110" s="27" t="s">
        <v>714</v>
      </c>
      <c r="B110" s="27" t="s">
        <v>715</v>
      </c>
      <c r="C110" s="27" t="s">
        <v>1499</v>
      </c>
      <c r="D110" s="27"/>
      <c r="E110" s="27"/>
      <c r="F110" s="27"/>
    </row>
    <row r="111" spans="1:6" ht="29.1" customHeight="1">
      <c r="A111" s="26" t="s">
        <v>121</v>
      </c>
      <c r="B111" s="26" t="s">
        <v>1500</v>
      </c>
      <c r="C111" s="26" t="s">
        <v>1501</v>
      </c>
      <c r="D111" s="26"/>
      <c r="E111" s="26"/>
      <c r="F111" s="26"/>
    </row>
    <row r="112" spans="1:6" ht="29.1" customHeight="1">
      <c r="A112" s="27" t="s">
        <v>124</v>
      </c>
      <c r="B112" s="27" t="s">
        <v>1502</v>
      </c>
      <c r="C112" s="27" t="s">
        <v>1503</v>
      </c>
      <c r="D112" s="27"/>
      <c r="E112" s="27"/>
      <c r="F112" s="27"/>
    </row>
    <row r="113" spans="1:6" ht="29.1" customHeight="1">
      <c r="A113" s="26" t="s">
        <v>128</v>
      </c>
      <c r="B113" s="26" t="s">
        <v>1504</v>
      </c>
      <c r="C113" s="26" t="s">
        <v>1505</v>
      </c>
      <c r="D113" s="26"/>
      <c r="E113" s="26"/>
      <c r="F113" s="26"/>
    </row>
    <row r="114" spans="1:6" ht="29.1" customHeight="1">
      <c r="A114" s="27" t="s">
        <v>676</v>
      </c>
      <c r="B114" s="27" t="s">
        <v>1506</v>
      </c>
      <c r="C114" s="27" t="s">
        <v>1507</v>
      </c>
      <c r="D114" s="27"/>
      <c r="E114" s="27"/>
      <c r="F114" s="27"/>
    </row>
    <row r="116" spans="1:6" ht="21" customHeight="1">
      <c r="A116" s="105" t="s">
        <v>1508</v>
      </c>
      <c r="B116" s="105"/>
      <c r="C116" s="105"/>
      <c r="D116" s="105"/>
      <c r="E116" s="105"/>
      <c r="F116" s="105"/>
    </row>
    <row r="118" spans="1:6" ht="24" customHeight="1">
      <c r="A118" s="107" t="s">
        <v>1509</v>
      </c>
      <c r="B118" s="107" t="s">
        <v>1509</v>
      </c>
      <c r="C118" s="107" t="s">
        <v>1509</v>
      </c>
    </row>
    <row r="119" spans="1:6" ht="24" customHeight="1">
      <c r="A119" s="15" t="s">
        <v>1510</v>
      </c>
      <c r="B119" s="15" t="s">
        <v>1511</v>
      </c>
      <c r="C119" s="15" t="s">
        <v>1512</v>
      </c>
      <c r="D119" s="15"/>
      <c r="E119" s="15"/>
      <c r="F119" s="15"/>
    </row>
    <row r="120" spans="1:6" ht="24" customHeight="1">
      <c r="A120" s="16" t="s">
        <v>676</v>
      </c>
      <c r="B120" s="16" t="s">
        <v>716</v>
      </c>
      <c r="C120" s="16" t="s">
        <v>1513</v>
      </c>
      <c r="D120" s="16"/>
      <c r="E120" s="16"/>
      <c r="F120" s="16"/>
    </row>
    <row r="121" spans="1:6" ht="24" customHeight="1">
      <c r="A121" s="17" t="s">
        <v>81</v>
      </c>
      <c r="B121" s="17" t="s">
        <v>717</v>
      </c>
      <c r="C121" s="17" t="s">
        <v>1514</v>
      </c>
      <c r="D121" s="17"/>
      <c r="E121" s="17"/>
      <c r="F121" s="17"/>
    </row>
    <row r="122" spans="1:6" ht="24" customHeight="1">
      <c r="A122" s="16" t="s">
        <v>85</v>
      </c>
      <c r="B122" s="16" t="s">
        <v>718</v>
      </c>
      <c r="C122" s="16" t="s">
        <v>1515</v>
      </c>
      <c r="D122" s="16"/>
      <c r="E122" s="16"/>
      <c r="F122" s="16"/>
    </row>
    <row r="123" spans="1:6" ht="24" customHeight="1"/>
    <row r="124" spans="1:6" ht="24" customHeight="1">
      <c r="A124" s="107" t="s">
        <v>1516</v>
      </c>
      <c r="B124" s="107" t="s">
        <v>1516</v>
      </c>
      <c r="C124" s="107" t="s">
        <v>1516</v>
      </c>
    </row>
    <row r="125" spans="1:6" ht="24" customHeight="1">
      <c r="A125" s="15" t="s">
        <v>1510</v>
      </c>
      <c r="B125" s="15" t="s">
        <v>1511</v>
      </c>
      <c r="C125" s="15" t="s">
        <v>1512</v>
      </c>
      <c r="D125" s="15"/>
      <c r="E125" s="15"/>
      <c r="F125" s="15"/>
    </row>
    <row r="126" spans="1:6" ht="24" customHeight="1">
      <c r="A126" s="16" t="s">
        <v>719</v>
      </c>
      <c r="B126" s="16" t="s">
        <v>720</v>
      </c>
      <c r="C126" s="16" t="s">
        <v>1517</v>
      </c>
      <c r="D126" s="16"/>
      <c r="E126" s="16"/>
      <c r="F126" s="16"/>
    </row>
    <row r="127" spans="1:6" ht="24" customHeight="1">
      <c r="A127" s="17" t="s">
        <v>721</v>
      </c>
      <c r="B127" s="17" t="s">
        <v>722</v>
      </c>
      <c r="C127" s="17" t="s">
        <v>1518</v>
      </c>
      <c r="D127" s="17"/>
      <c r="E127" s="17"/>
      <c r="F127" s="17"/>
    </row>
    <row r="128" spans="1:6" ht="24" customHeight="1">
      <c r="A128" s="16" t="s">
        <v>723</v>
      </c>
      <c r="B128" s="16" t="s">
        <v>724</v>
      </c>
      <c r="C128" s="16" t="s">
        <v>1519</v>
      </c>
      <c r="D128" s="16"/>
      <c r="E128" s="16"/>
      <c r="F128" s="16"/>
    </row>
    <row r="129" spans="1:6" ht="24" customHeight="1">
      <c r="A129" s="17" t="s">
        <v>725</v>
      </c>
      <c r="B129" s="17" t="s">
        <v>726</v>
      </c>
      <c r="C129" s="17" t="s">
        <v>1520</v>
      </c>
      <c r="D129" s="17"/>
      <c r="E129" s="17"/>
      <c r="F129" s="17"/>
    </row>
    <row r="130" spans="1:6" ht="24" customHeight="1">
      <c r="A130" s="16" t="s">
        <v>727</v>
      </c>
      <c r="B130" s="16" t="s">
        <v>728</v>
      </c>
      <c r="C130" s="16" t="s">
        <v>1521</v>
      </c>
      <c r="D130" s="16"/>
      <c r="E130" s="16"/>
      <c r="F130" s="16"/>
    </row>
    <row r="131" spans="1:6" ht="24" customHeight="1">
      <c r="A131" s="17" t="s">
        <v>729</v>
      </c>
      <c r="B131" s="17" t="s">
        <v>730</v>
      </c>
      <c r="C131" s="17" t="s">
        <v>1522</v>
      </c>
      <c r="D131" s="17"/>
      <c r="E131" s="17"/>
      <c r="F131" s="17"/>
    </row>
    <row r="132" spans="1:6" ht="24" customHeight="1">
      <c r="A132" s="16" t="s">
        <v>731</v>
      </c>
      <c r="B132" s="16" t="s">
        <v>732</v>
      </c>
      <c r="C132" s="16" t="s">
        <v>1523</v>
      </c>
      <c r="D132" s="16"/>
      <c r="E132" s="16"/>
      <c r="F132" s="16"/>
    </row>
    <row r="133" spans="1:6" ht="24" customHeight="1">
      <c r="A133" s="17" t="s">
        <v>733</v>
      </c>
      <c r="B133" s="17" t="s">
        <v>734</v>
      </c>
      <c r="C133" s="17" t="s">
        <v>1524</v>
      </c>
      <c r="D133" s="17"/>
      <c r="E133" s="17"/>
      <c r="F133" s="17"/>
    </row>
    <row r="134" spans="1:6" ht="24" customHeight="1">
      <c r="A134" s="16" t="s">
        <v>735</v>
      </c>
      <c r="B134" s="16" t="s">
        <v>736</v>
      </c>
      <c r="C134" s="16" t="s">
        <v>1525</v>
      </c>
      <c r="D134" s="16"/>
      <c r="E134" s="16"/>
      <c r="F134" s="16"/>
    </row>
    <row r="135" spans="1:6" ht="24" customHeight="1">
      <c r="A135" s="17" t="s">
        <v>737</v>
      </c>
      <c r="B135" s="17" t="s">
        <v>738</v>
      </c>
      <c r="C135" s="17" t="s">
        <v>1526</v>
      </c>
      <c r="D135" s="17"/>
      <c r="E135" s="17"/>
      <c r="F135" s="17"/>
    </row>
    <row r="136" spans="1:6" ht="24" customHeight="1">
      <c r="A136" s="16" t="s">
        <v>739</v>
      </c>
      <c r="B136" s="16" t="s">
        <v>700</v>
      </c>
      <c r="C136" s="16" t="s">
        <v>1527</v>
      </c>
      <c r="D136" s="16"/>
      <c r="E136" s="16"/>
      <c r="F136" s="16"/>
    </row>
  </sheetData>
  <mergeCells count="20">
    <mergeCell ref="A118:C118"/>
    <mergeCell ref="A124:C124"/>
    <mergeCell ref="A98:F98"/>
    <mergeCell ref="A107:F107"/>
    <mergeCell ref="A116:F116"/>
    <mergeCell ref="A60:F60"/>
    <mergeCell ref="A66:F66"/>
    <mergeCell ref="A74:F74"/>
    <mergeCell ref="A80:F80"/>
    <mergeCell ref="A89:F89"/>
    <mergeCell ref="A27:F27"/>
    <mergeCell ref="A37:F37"/>
    <mergeCell ref="A44:F44"/>
    <mergeCell ref="A49:F49"/>
    <mergeCell ref="A55:F55"/>
    <mergeCell ref="A1:F1"/>
    <mergeCell ref="A2:F2"/>
    <mergeCell ref="A4:F4"/>
    <mergeCell ref="A12:F12"/>
    <mergeCell ref="A18:F18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12"/>
  <sheetViews>
    <sheetView topLeftCell="A100" workbookViewId="0">
      <selection activeCell="J100" sqref="J100"/>
    </sheetView>
  </sheetViews>
  <sheetFormatPr defaultRowHeight="14.25"/>
  <cols>
    <col min="1" max="1" width="13.125" style="3" customWidth="1"/>
    <col min="2" max="2" width="23.75" style="3" customWidth="1"/>
    <col min="3" max="3" width="19.375" style="3" bestFit="1" customWidth="1"/>
    <col min="4" max="4" width="36.875" style="3" bestFit="1" customWidth="1"/>
    <col min="5" max="5" width="31.625" style="3" bestFit="1" customWidth="1"/>
    <col min="6" max="6" width="60.5" style="3" customWidth="1"/>
    <col min="7" max="16384" width="9" style="3"/>
  </cols>
  <sheetData>
    <row r="1" spans="1:6" ht="25.5" customHeight="1">
      <c r="A1" s="123" t="s">
        <v>1665</v>
      </c>
      <c r="B1" s="124"/>
      <c r="C1" s="124"/>
      <c r="D1" s="124"/>
      <c r="E1" s="124"/>
      <c r="F1" s="124"/>
    </row>
    <row r="2" spans="1:6" ht="19.5" customHeight="1">
      <c r="A2" s="125" t="s">
        <v>1664</v>
      </c>
      <c r="B2" s="126"/>
      <c r="C2" s="126"/>
      <c r="D2" s="126"/>
      <c r="E2" s="126"/>
      <c r="F2" s="126"/>
    </row>
    <row r="4" spans="1:6" ht="21" customHeight="1">
      <c r="A4" s="109" t="s">
        <v>740</v>
      </c>
      <c r="B4" s="109"/>
      <c r="C4" s="109"/>
      <c r="D4" s="109"/>
      <c r="E4" s="109"/>
      <c r="F4" s="109"/>
    </row>
    <row r="5" spans="1:6" ht="21" customHeight="1">
      <c r="A5" s="4" t="s">
        <v>40</v>
      </c>
      <c r="B5" s="4" t="s">
        <v>741</v>
      </c>
      <c r="C5" s="4" t="s">
        <v>110</v>
      </c>
      <c r="D5" s="4" t="s">
        <v>39</v>
      </c>
      <c r="E5" s="4" t="s">
        <v>111</v>
      </c>
      <c r="F5" s="4" t="s">
        <v>742</v>
      </c>
    </row>
    <row r="6" spans="1:6" ht="25.5" customHeight="1">
      <c r="A6" s="5" t="str">
        <f t="shared" ref="A6:A13" si="0">"0x25"</f>
        <v>0x25</v>
      </c>
      <c r="B6" s="5" t="str">
        <f>"0x01"</f>
        <v>0x01</v>
      </c>
      <c r="C6" s="5" t="s">
        <v>743</v>
      </c>
      <c r="D6" s="5" t="s">
        <v>744</v>
      </c>
      <c r="E6" s="5" t="s">
        <v>636</v>
      </c>
      <c r="F6" s="5" t="s">
        <v>745</v>
      </c>
    </row>
    <row r="7" spans="1:6" ht="25.5" customHeight="1">
      <c r="A7" s="1" t="str">
        <f t="shared" si="0"/>
        <v>0x25</v>
      </c>
      <c r="B7" s="1" t="str">
        <f>"0x02"</f>
        <v>0x02</v>
      </c>
      <c r="C7" s="1" t="s">
        <v>746</v>
      </c>
      <c r="D7" s="1" t="s">
        <v>744</v>
      </c>
      <c r="E7" s="1" t="s">
        <v>747</v>
      </c>
      <c r="F7" s="1" t="s">
        <v>748</v>
      </c>
    </row>
    <row r="8" spans="1:6" ht="25.5" customHeight="1">
      <c r="A8" s="5" t="str">
        <f t="shared" si="0"/>
        <v>0x25</v>
      </c>
      <c r="B8" s="5" t="str">
        <f>"0x03"</f>
        <v>0x03</v>
      </c>
      <c r="C8" s="5" t="s">
        <v>749</v>
      </c>
      <c r="D8" s="5" t="s">
        <v>744</v>
      </c>
      <c r="E8" s="5" t="s">
        <v>747</v>
      </c>
      <c r="F8" s="5" t="s">
        <v>750</v>
      </c>
    </row>
    <row r="9" spans="1:6" ht="25.5" customHeight="1">
      <c r="A9" s="1" t="str">
        <f t="shared" si="0"/>
        <v>0x25</v>
      </c>
      <c r="B9" s="1" t="str">
        <f>"0x04"</f>
        <v>0x04</v>
      </c>
      <c r="C9" s="1" t="s">
        <v>751</v>
      </c>
      <c r="D9" s="1" t="s">
        <v>744</v>
      </c>
      <c r="E9" s="1" t="s">
        <v>454</v>
      </c>
      <c r="F9" s="1" t="s">
        <v>752</v>
      </c>
    </row>
    <row r="10" spans="1:6" ht="25.5" customHeight="1">
      <c r="A10" s="5" t="str">
        <f t="shared" si="0"/>
        <v>0x25</v>
      </c>
      <c r="B10" s="5" t="str">
        <f>"0x05"</f>
        <v>0x05</v>
      </c>
      <c r="C10" s="5" t="s">
        <v>753</v>
      </c>
      <c r="D10" s="5" t="s">
        <v>744</v>
      </c>
      <c r="E10" s="5" t="s">
        <v>754</v>
      </c>
      <c r="F10" s="5" t="s">
        <v>755</v>
      </c>
    </row>
    <row r="11" spans="1:6" ht="25.5" customHeight="1">
      <c r="A11" s="1" t="str">
        <f t="shared" si="0"/>
        <v>0x25</v>
      </c>
      <c r="B11" s="1" t="str">
        <f>"0x80"</f>
        <v>0x80</v>
      </c>
      <c r="C11" s="1" t="s">
        <v>756</v>
      </c>
      <c r="D11" s="1" t="s">
        <v>757</v>
      </c>
      <c r="E11" s="1" t="s">
        <v>758</v>
      </c>
      <c r="F11" s="1" t="s">
        <v>759</v>
      </c>
    </row>
    <row r="12" spans="1:6" ht="25.5" customHeight="1">
      <c r="A12" s="66" t="str">
        <f t="shared" si="0"/>
        <v>0x25</v>
      </c>
      <c r="B12" s="66" t="str">
        <f>"0x81"</f>
        <v>0x81</v>
      </c>
      <c r="C12" s="66" t="s">
        <v>760</v>
      </c>
      <c r="D12" s="67" t="s">
        <v>1661</v>
      </c>
      <c r="E12" s="67" t="s">
        <v>467</v>
      </c>
      <c r="F12" s="122" t="s">
        <v>1663</v>
      </c>
    </row>
    <row r="13" spans="1:6" ht="25.5" customHeight="1">
      <c r="A13" s="7" t="str">
        <f t="shared" si="0"/>
        <v>0x25</v>
      </c>
      <c r="B13" s="7" t="str">
        <f>"0x82"</f>
        <v>0x82</v>
      </c>
      <c r="C13" s="7" t="s">
        <v>761</v>
      </c>
      <c r="D13" s="7" t="s">
        <v>757</v>
      </c>
      <c r="E13" s="7" t="s">
        <v>762</v>
      </c>
      <c r="F13" s="7" t="s">
        <v>763</v>
      </c>
    </row>
    <row r="14" spans="1:6" ht="22.5" customHeight="1">
      <c r="A14" s="62" t="s">
        <v>204</v>
      </c>
      <c r="B14" s="63" t="s">
        <v>222</v>
      </c>
      <c r="C14" s="64" t="s">
        <v>764</v>
      </c>
      <c r="D14" s="64" t="s">
        <v>1659</v>
      </c>
      <c r="E14" s="64" t="s">
        <v>765</v>
      </c>
      <c r="F14" s="64" t="s">
        <v>1660</v>
      </c>
    </row>
    <row r="15" spans="1:6" ht="27" customHeight="1">
      <c r="A15" s="65" t="s">
        <v>204</v>
      </c>
      <c r="B15" s="65" t="s">
        <v>766</v>
      </c>
      <c r="C15" s="65" t="s">
        <v>767</v>
      </c>
      <c r="D15" s="65" t="s">
        <v>1661</v>
      </c>
      <c r="E15" s="65" t="s">
        <v>768</v>
      </c>
      <c r="F15" s="65" t="s">
        <v>1662</v>
      </c>
    </row>
    <row r="16" spans="1:6">
      <c r="A16" s="60"/>
      <c r="B16" s="60"/>
      <c r="C16" s="61"/>
      <c r="D16" s="61"/>
      <c r="E16" s="61"/>
      <c r="F16" s="61"/>
    </row>
    <row r="17" spans="1:6" ht="21" customHeight="1">
      <c r="A17" s="110" t="s">
        <v>769</v>
      </c>
      <c r="B17" s="110"/>
      <c r="C17" s="110"/>
      <c r="D17" s="110"/>
      <c r="E17" s="110"/>
      <c r="F17" s="110"/>
    </row>
    <row r="18" spans="1:6" ht="19.5" customHeight="1">
      <c r="A18" s="108" t="s">
        <v>770</v>
      </c>
      <c r="B18" s="108"/>
      <c r="C18" s="108"/>
      <c r="D18" s="108"/>
      <c r="E18" s="108"/>
      <c r="F18" s="108"/>
    </row>
    <row r="19" spans="1:6" ht="21" customHeight="1">
      <c r="A19" s="4" t="s">
        <v>288</v>
      </c>
      <c r="B19" s="4" t="s">
        <v>55</v>
      </c>
      <c r="C19" s="4" t="s">
        <v>289</v>
      </c>
      <c r="D19" s="4" t="s">
        <v>771</v>
      </c>
      <c r="E19" s="4" t="s">
        <v>5</v>
      </c>
      <c r="F19" s="4" t="s">
        <v>6</v>
      </c>
    </row>
    <row r="20" spans="1:6" ht="28.5" customHeight="1">
      <c r="A20" s="5" t="s">
        <v>452</v>
      </c>
      <c r="B20" s="5" t="s">
        <v>741</v>
      </c>
      <c r="C20" s="5" t="s">
        <v>454</v>
      </c>
      <c r="D20" s="5" t="s">
        <v>497</v>
      </c>
      <c r="E20" s="5" t="s">
        <v>743</v>
      </c>
      <c r="F20" s="5" t="s">
        <v>772</v>
      </c>
    </row>
    <row r="21" spans="1:6" ht="28.5" customHeight="1">
      <c r="A21" s="1" t="s">
        <v>456</v>
      </c>
      <c r="B21" s="1" t="s">
        <v>773</v>
      </c>
      <c r="C21" s="1" t="s">
        <v>458</v>
      </c>
      <c r="D21" s="1" t="s">
        <v>774</v>
      </c>
      <c r="E21" s="1" t="s">
        <v>775</v>
      </c>
      <c r="F21" s="1" t="s">
        <v>776</v>
      </c>
    </row>
    <row r="22" spans="1:6" ht="28.5" customHeight="1">
      <c r="A22" s="5" t="s">
        <v>777</v>
      </c>
      <c r="B22" s="5" t="s">
        <v>508</v>
      </c>
      <c r="C22" s="5" t="s">
        <v>458</v>
      </c>
      <c r="D22" s="5" t="s">
        <v>369</v>
      </c>
      <c r="E22" s="5" t="s">
        <v>778</v>
      </c>
      <c r="F22" s="5" t="s">
        <v>779</v>
      </c>
    </row>
    <row r="23" spans="1:6" ht="28.5" customHeight="1">
      <c r="A23" s="1" t="s">
        <v>780</v>
      </c>
      <c r="B23" s="1" t="s">
        <v>781</v>
      </c>
      <c r="C23" s="1" t="s">
        <v>458</v>
      </c>
      <c r="D23" s="1" t="s">
        <v>782</v>
      </c>
      <c r="E23" s="1" t="s">
        <v>783</v>
      </c>
      <c r="F23" s="1" t="s">
        <v>784</v>
      </c>
    </row>
    <row r="24" spans="1:6" ht="28.5" customHeight="1">
      <c r="A24" s="5" t="s">
        <v>614</v>
      </c>
      <c r="B24" s="5" t="s">
        <v>785</v>
      </c>
      <c r="C24" s="5" t="s">
        <v>454</v>
      </c>
      <c r="D24" s="5" t="s">
        <v>786</v>
      </c>
      <c r="E24" s="5" t="s">
        <v>787</v>
      </c>
      <c r="F24" s="127" t="s">
        <v>1666</v>
      </c>
    </row>
    <row r="25" spans="1:6" ht="21" customHeight="1">
      <c r="A25" s="6" t="s">
        <v>788</v>
      </c>
      <c r="B25" s="6" t="s">
        <v>636</v>
      </c>
      <c r="C25" s="6" t="s">
        <v>789</v>
      </c>
      <c r="D25" s="6" t="s">
        <v>790</v>
      </c>
      <c r="E25" s="6" t="s">
        <v>791</v>
      </c>
      <c r="F25" s="6" t="s">
        <v>792</v>
      </c>
    </row>
    <row r="27" spans="1:6" ht="21" customHeight="1">
      <c r="A27" s="109" t="s">
        <v>793</v>
      </c>
      <c r="B27" s="109"/>
      <c r="C27" s="109"/>
      <c r="D27" s="109"/>
      <c r="E27" s="109"/>
      <c r="F27" s="109"/>
    </row>
    <row r="28" spans="1:6" ht="19.5" customHeight="1">
      <c r="A28" s="108" t="s">
        <v>794</v>
      </c>
      <c r="B28" s="108"/>
      <c r="C28" s="108"/>
      <c r="D28" s="108"/>
      <c r="E28" s="108"/>
      <c r="F28" s="108"/>
    </row>
    <row r="29" spans="1:6" ht="21" customHeight="1">
      <c r="A29" s="4" t="s">
        <v>288</v>
      </c>
      <c r="B29" s="4" t="s">
        <v>55</v>
      </c>
      <c r="C29" s="4" t="s">
        <v>289</v>
      </c>
      <c r="D29" s="4" t="s">
        <v>771</v>
      </c>
      <c r="E29" s="4" t="s">
        <v>5</v>
      </c>
      <c r="F29" s="4" t="s">
        <v>6</v>
      </c>
    </row>
    <row r="30" spans="1:6" ht="27" customHeight="1">
      <c r="A30" s="5" t="s">
        <v>452</v>
      </c>
      <c r="B30" s="5" t="s">
        <v>741</v>
      </c>
      <c r="C30" s="5" t="s">
        <v>454</v>
      </c>
      <c r="D30" s="5" t="s">
        <v>795</v>
      </c>
      <c r="E30" s="5" t="s">
        <v>796</v>
      </c>
      <c r="F30" s="5" t="s">
        <v>772</v>
      </c>
    </row>
    <row r="31" spans="1:6" ht="27" customHeight="1">
      <c r="A31" s="1" t="s">
        <v>456</v>
      </c>
      <c r="B31" s="1" t="s">
        <v>773</v>
      </c>
      <c r="C31" s="1" t="s">
        <v>458</v>
      </c>
      <c r="D31" s="1" t="s">
        <v>369</v>
      </c>
      <c r="E31" s="1" t="s">
        <v>797</v>
      </c>
      <c r="F31" s="1" t="s">
        <v>798</v>
      </c>
    </row>
    <row r="32" spans="1:6" ht="21" customHeight="1">
      <c r="A32" s="6" t="s">
        <v>788</v>
      </c>
      <c r="B32" s="6" t="s">
        <v>747</v>
      </c>
      <c r="C32" s="6" t="s">
        <v>789</v>
      </c>
      <c r="D32" s="6" t="s">
        <v>462</v>
      </c>
      <c r="E32" s="6" t="s">
        <v>791</v>
      </c>
      <c r="F32" s="6" t="s">
        <v>792</v>
      </c>
    </row>
    <row r="34" spans="1:6" ht="21" customHeight="1">
      <c r="A34" s="109" t="s">
        <v>799</v>
      </c>
      <c r="B34" s="109"/>
      <c r="C34" s="109"/>
      <c r="D34" s="109"/>
      <c r="E34" s="109"/>
      <c r="F34" s="109"/>
    </row>
    <row r="35" spans="1:6" ht="19.5" customHeight="1">
      <c r="A35" s="108" t="s">
        <v>800</v>
      </c>
      <c r="B35" s="108"/>
      <c r="C35" s="108"/>
      <c r="D35" s="108"/>
      <c r="E35" s="108"/>
      <c r="F35" s="108"/>
    </row>
    <row r="36" spans="1:6" ht="21" customHeight="1">
      <c r="A36" s="4" t="s">
        <v>288</v>
      </c>
      <c r="B36" s="4" t="s">
        <v>55</v>
      </c>
      <c r="C36" s="4" t="s">
        <v>289</v>
      </c>
      <c r="D36" s="4" t="s">
        <v>771</v>
      </c>
      <c r="E36" s="4" t="s">
        <v>5</v>
      </c>
      <c r="F36" s="4" t="s">
        <v>6</v>
      </c>
    </row>
    <row r="37" spans="1:6" ht="24" customHeight="1">
      <c r="A37" s="5" t="s">
        <v>452</v>
      </c>
      <c r="B37" s="5" t="s">
        <v>741</v>
      </c>
      <c r="C37" s="5" t="s">
        <v>454</v>
      </c>
      <c r="D37" s="5" t="s">
        <v>480</v>
      </c>
      <c r="E37" s="5" t="s">
        <v>751</v>
      </c>
      <c r="F37" s="5" t="s">
        <v>801</v>
      </c>
    </row>
    <row r="38" spans="1:6" ht="21" customHeight="1">
      <c r="A38" s="6" t="s">
        <v>788</v>
      </c>
      <c r="B38" s="6" t="s">
        <v>454</v>
      </c>
      <c r="C38" s="6" t="s">
        <v>789</v>
      </c>
      <c r="D38" s="6" t="s">
        <v>458</v>
      </c>
      <c r="E38" s="6" t="s">
        <v>791</v>
      </c>
      <c r="F38" s="6" t="s">
        <v>792</v>
      </c>
    </row>
    <row r="40" spans="1:6" ht="21" customHeight="1">
      <c r="A40" s="109" t="s">
        <v>802</v>
      </c>
      <c r="B40" s="109"/>
      <c r="C40" s="109"/>
      <c r="D40" s="109"/>
      <c r="E40" s="109"/>
      <c r="F40" s="109"/>
    </row>
    <row r="41" spans="1:6" ht="19.5" customHeight="1">
      <c r="A41" s="108" t="s">
        <v>803</v>
      </c>
      <c r="B41" s="108"/>
      <c r="C41" s="108"/>
      <c r="D41" s="108"/>
      <c r="E41" s="108"/>
      <c r="F41" s="108"/>
    </row>
    <row r="42" spans="1:6" ht="21" customHeight="1">
      <c r="A42" s="4" t="s">
        <v>288</v>
      </c>
      <c r="B42" s="4" t="s">
        <v>55</v>
      </c>
      <c r="C42" s="4" t="s">
        <v>289</v>
      </c>
      <c r="D42" s="4" t="s">
        <v>771</v>
      </c>
      <c r="E42" s="4" t="s">
        <v>5</v>
      </c>
      <c r="F42" s="4" t="s">
        <v>6</v>
      </c>
    </row>
    <row r="43" spans="1:6" ht="30" customHeight="1">
      <c r="A43" s="5" t="s">
        <v>452</v>
      </c>
      <c r="B43" s="5" t="s">
        <v>741</v>
      </c>
      <c r="C43" s="5" t="s">
        <v>454</v>
      </c>
      <c r="D43" s="5" t="s">
        <v>804</v>
      </c>
      <c r="E43" s="5" t="s">
        <v>753</v>
      </c>
      <c r="F43" s="5" t="s">
        <v>772</v>
      </c>
    </row>
    <row r="44" spans="1:6" ht="30" customHeight="1">
      <c r="A44" s="1" t="s">
        <v>456</v>
      </c>
      <c r="B44" s="1" t="s">
        <v>805</v>
      </c>
      <c r="C44" s="1" t="s">
        <v>458</v>
      </c>
      <c r="D44" s="1" t="s">
        <v>369</v>
      </c>
      <c r="E44" s="1" t="s">
        <v>806</v>
      </c>
      <c r="F44" s="1" t="s">
        <v>807</v>
      </c>
    </row>
    <row r="45" spans="1:6" ht="30" customHeight="1">
      <c r="A45" s="5" t="s">
        <v>777</v>
      </c>
      <c r="B45" s="5" t="s">
        <v>808</v>
      </c>
      <c r="C45" s="5" t="s">
        <v>458</v>
      </c>
      <c r="D45" s="5" t="s">
        <v>369</v>
      </c>
      <c r="E45" s="5" t="s">
        <v>809</v>
      </c>
      <c r="F45" s="5" t="s">
        <v>810</v>
      </c>
    </row>
    <row r="46" spans="1:6" ht="21" customHeight="1">
      <c r="A46" s="6" t="s">
        <v>788</v>
      </c>
      <c r="B46" s="6" t="s">
        <v>754</v>
      </c>
      <c r="C46" s="6" t="s">
        <v>789</v>
      </c>
      <c r="D46" s="6" t="s">
        <v>811</v>
      </c>
      <c r="E46" s="6" t="s">
        <v>791</v>
      </c>
      <c r="F46" s="6" t="s">
        <v>792</v>
      </c>
    </row>
    <row r="48" spans="1:6" ht="21" customHeight="1">
      <c r="A48" s="109" t="s">
        <v>812</v>
      </c>
      <c r="B48" s="109"/>
      <c r="C48" s="109"/>
      <c r="D48" s="109"/>
      <c r="E48" s="109"/>
      <c r="F48" s="109"/>
    </row>
    <row r="49" spans="1:6" ht="19.5" customHeight="1">
      <c r="A49" s="108" t="s">
        <v>813</v>
      </c>
      <c r="B49" s="108"/>
      <c r="C49" s="108"/>
      <c r="D49" s="108"/>
      <c r="E49" s="108"/>
      <c r="F49" s="108"/>
    </row>
    <row r="50" spans="1:6" ht="21" customHeight="1">
      <c r="A50" s="4" t="s">
        <v>288</v>
      </c>
      <c r="B50" s="4" t="s">
        <v>55</v>
      </c>
      <c r="C50" s="4" t="s">
        <v>289</v>
      </c>
      <c r="D50" s="4" t="s">
        <v>771</v>
      </c>
      <c r="E50" s="4" t="s">
        <v>5</v>
      </c>
      <c r="F50" s="4" t="s">
        <v>6</v>
      </c>
    </row>
    <row r="51" spans="1:6" ht="30" customHeight="1">
      <c r="A51" s="5" t="s">
        <v>452</v>
      </c>
      <c r="B51" s="5" t="s">
        <v>741</v>
      </c>
      <c r="C51" s="5" t="s">
        <v>454</v>
      </c>
      <c r="D51" s="5" t="s">
        <v>814</v>
      </c>
      <c r="E51" s="5" t="s">
        <v>756</v>
      </c>
      <c r="F51" s="5" t="s">
        <v>772</v>
      </c>
    </row>
    <row r="52" spans="1:6" ht="30" customHeight="1">
      <c r="A52" s="1" t="s">
        <v>456</v>
      </c>
      <c r="B52" s="1" t="s">
        <v>815</v>
      </c>
      <c r="C52" s="1" t="s">
        <v>458</v>
      </c>
      <c r="D52" s="1" t="s">
        <v>369</v>
      </c>
      <c r="E52" s="1" t="s">
        <v>816</v>
      </c>
      <c r="F52" s="1" t="s">
        <v>817</v>
      </c>
    </row>
    <row r="53" spans="1:6" ht="30" customHeight="1">
      <c r="A53" s="5" t="s">
        <v>777</v>
      </c>
      <c r="B53" s="5" t="s">
        <v>781</v>
      </c>
      <c r="C53" s="5" t="s">
        <v>458</v>
      </c>
      <c r="D53" s="5" t="s">
        <v>782</v>
      </c>
      <c r="E53" s="5" t="s">
        <v>818</v>
      </c>
      <c r="F53" s="5" t="s">
        <v>819</v>
      </c>
    </row>
    <row r="54" spans="1:6" ht="30" customHeight="1">
      <c r="A54" s="1" t="s">
        <v>754</v>
      </c>
      <c r="B54" s="1" t="s">
        <v>785</v>
      </c>
      <c r="C54" s="1" t="s">
        <v>454</v>
      </c>
      <c r="D54" s="1" t="s">
        <v>786</v>
      </c>
      <c r="E54" s="1" t="s">
        <v>820</v>
      </c>
      <c r="F54" s="1" t="s">
        <v>821</v>
      </c>
    </row>
    <row r="55" spans="1:6" ht="30" customHeight="1">
      <c r="A55" s="5" t="s">
        <v>822</v>
      </c>
      <c r="B55" s="5" t="s">
        <v>823</v>
      </c>
      <c r="C55" s="5" t="s">
        <v>454</v>
      </c>
      <c r="D55" s="5" t="s">
        <v>824</v>
      </c>
      <c r="E55" s="5" t="s">
        <v>825</v>
      </c>
      <c r="F55" s="5" t="s">
        <v>826</v>
      </c>
    </row>
    <row r="56" spans="1:6" ht="30" customHeight="1">
      <c r="A56" s="21" t="s">
        <v>827</v>
      </c>
      <c r="B56" s="21" t="s">
        <v>828</v>
      </c>
      <c r="C56" s="21" t="s">
        <v>454</v>
      </c>
      <c r="D56" s="21" t="s">
        <v>829</v>
      </c>
      <c r="E56" s="21" t="s">
        <v>830</v>
      </c>
      <c r="F56" s="21" t="s">
        <v>831</v>
      </c>
    </row>
    <row r="57" spans="1:6" ht="30" customHeight="1">
      <c r="A57" s="5" t="s">
        <v>832</v>
      </c>
      <c r="B57" s="5" t="s">
        <v>805</v>
      </c>
      <c r="C57" s="5" t="s">
        <v>458</v>
      </c>
      <c r="D57" s="5" t="s">
        <v>369</v>
      </c>
      <c r="E57" s="5" t="s">
        <v>833</v>
      </c>
      <c r="F57" s="5" t="s">
        <v>834</v>
      </c>
    </row>
    <row r="58" spans="1:6" ht="30" customHeight="1">
      <c r="A58" s="1" t="s">
        <v>835</v>
      </c>
      <c r="B58" s="1" t="s">
        <v>836</v>
      </c>
      <c r="C58" s="1" t="s">
        <v>458</v>
      </c>
      <c r="D58" s="1" t="s">
        <v>369</v>
      </c>
      <c r="E58" s="1" t="s">
        <v>837</v>
      </c>
      <c r="F58" s="1" t="s">
        <v>838</v>
      </c>
    </row>
    <row r="59" spans="1:6" ht="21" customHeight="1">
      <c r="A59" s="6" t="s">
        <v>788</v>
      </c>
      <c r="B59" s="6" t="s">
        <v>758</v>
      </c>
      <c r="C59" s="6" t="s">
        <v>789</v>
      </c>
      <c r="D59" s="6" t="s">
        <v>839</v>
      </c>
      <c r="E59" s="6" t="s">
        <v>791</v>
      </c>
      <c r="F59" s="6" t="s">
        <v>840</v>
      </c>
    </row>
    <row r="61" spans="1:6" ht="21" customHeight="1">
      <c r="A61" s="109" t="s">
        <v>841</v>
      </c>
      <c r="B61" s="109"/>
      <c r="C61" s="109"/>
      <c r="D61" s="109"/>
      <c r="E61" s="109"/>
      <c r="F61" s="109"/>
    </row>
    <row r="62" spans="1:6" ht="19.5" customHeight="1">
      <c r="A62" s="108" t="s">
        <v>842</v>
      </c>
      <c r="B62" s="108"/>
      <c r="C62" s="108"/>
      <c r="D62" s="108"/>
      <c r="E62" s="108"/>
      <c r="F62" s="108"/>
    </row>
    <row r="63" spans="1:6" ht="21" customHeight="1">
      <c r="A63" s="4" t="s">
        <v>288</v>
      </c>
      <c r="B63" s="4" t="s">
        <v>55</v>
      </c>
      <c r="C63" s="4" t="s">
        <v>289</v>
      </c>
      <c r="D63" s="4" t="s">
        <v>771</v>
      </c>
      <c r="E63" s="4" t="s">
        <v>5</v>
      </c>
      <c r="F63" s="4" t="s">
        <v>6</v>
      </c>
    </row>
    <row r="64" spans="1:6" ht="31.5" customHeight="1">
      <c r="A64" s="5" t="s">
        <v>452</v>
      </c>
      <c r="B64" s="5" t="s">
        <v>741</v>
      </c>
      <c r="C64" s="5" t="s">
        <v>454</v>
      </c>
      <c r="D64" s="5" t="s">
        <v>843</v>
      </c>
      <c r="E64" s="5" t="s">
        <v>760</v>
      </c>
      <c r="F64" s="5" t="s">
        <v>772</v>
      </c>
    </row>
    <row r="65" spans="1:6" ht="31.5" customHeight="1">
      <c r="A65" s="1" t="s">
        <v>456</v>
      </c>
      <c r="B65" s="1" t="s">
        <v>773</v>
      </c>
      <c r="C65" s="1" t="s">
        <v>458</v>
      </c>
      <c r="D65" s="1" t="s">
        <v>369</v>
      </c>
      <c r="E65" s="1" t="s">
        <v>844</v>
      </c>
      <c r="F65" s="128" t="s">
        <v>1667</v>
      </c>
    </row>
    <row r="66" spans="1:6" ht="31.5" customHeight="1">
      <c r="A66" s="5" t="s">
        <v>747</v>
      </c>
      <c r="B66" s="5" t="s">
        <v>845</v>
      </c>
      <c r="C66" s="5" t="s">
        <v>454</v>
      </c>
      <c r="D66" s="5" t="s">
        <v>846</v>
      </c>
      <c r="E66" s="5" t="s">
        <v>847</v>
      </c>
      <c r="F66" s="5" t="s">
        <v>848</v>
      </c>
    </row>
    <row r="67" spans="1:6" ht="31.5" customHeight="1">
      <c r="A67" s="1" t="s">
        <v>849</v>
      </c>
      <c r="B67" s="1" t="s">
        <v>850</v>
      </c>
      <c r="C67" s="1" t="s">
        <v>454</v>
      </c>
      <c r="D67" s="1" t="s">
        <v>851</v>
      </c>
      <c r="E67" s="1" t="s">
        <v>852</v>
      </c>
      <c r="F67" s="129" t="s">
        <v>1668</v>
      </c>
    </row>
    <row r="68" spans="1:6" ht="21" customHeight="1">
      <c r="A68" s="6" t="s">
        <v>788</v>
      </c>
      <c r="B68" s="6" t="s">
        <v>467</v>
      </c>
      <c r="C68" s="6" t="s">
        <v>789</v>
      </c>
      <c r="D68" s="6" t="s">
        <v>754</v>
      </c>
      <c r="E68" s="6" t="s">
        <v>791</v>
      </c>
      <c r="F68" s="6" t="s">
        <v>840</v>
      </c>
    </row>
    <row r="70" spans="1:6" ht="21" customHeight="1">
      <c r="A70" s="109" t="s">
        <v>853</v>
      </c>
      <c r="B70" s="109"/>
      <c r="C70" s="109"/>
      <c r="D70" s="109"/>
      <c r="E70" s="109"/>
      <c r="F70" s="109"/>
    </row>
    <row r="71" spans="1:6" ht="19.5" customHeight="1">
      <c r="A71" s="108" t="s">
        <v>854</v>
      </c>
      <c r="B71" s="108"/>
      <c r="C71" s="108"/>
      <c r="D71" s="108"/>
      <c r="E71" s="108"/>
      <c r="F71" s="108"/>
    </row>
    <row r="72" spans="1:6" ht="21" customHeight="1">
      <c r="A72" s="4" t="s">
        <v>288</v>
      </c>
      <c r="B72" s="4" t="s">
        <v>55</v>
      </c>
      <c r="C72" s="4" t="s">
        <v>289</v>
      </c>
      <c r="D72" s="4" t="s">
        <v>771</v>
      </c>
      <c r="E72" s="4" t="s">
        <v>5</v>
      </c>
      <c r="F72" s="4" t="s">
        <v>6</v>
      </c>
    </row>
    <row r="73" spans="1:6" ht="30" customHeight="1">
      <c r="A73" s="5" t="s">
        <v>452</v>
      </c>
      <c r="B73" s="5" t="s">
        <v>741</v>
      </c>
      <c r="C73" s="5" t="s">
        <v>454</v>
      </c>
      <c r="D73" s="5" t="s">
        <v>855</v>
      </c>
      <c r="E73" s="5" t="s">
        <v>761</v>
      </c>
      <c r="F73" s="5" t="s">
        <v>772</v>
      </c>
    </row>
    <row r="74" spans="1:6" ht="30" customHeight="1">
      <c r="A74" s="1" t="s">
        <v>456</v>
      </c>
      <c r="B74" s="1" t="s">
        <v>805</v>
      </c>
      <c r="C74" s="1" t="s">
        <v>458</v>
      </c>
      <c r="D74" s="1" t="s">
        <v>369</v>
      </c>
      <c r="E74" s="1" t="s">
        <v>806</v>
      </c>
      <c r="F74" s="1" t="s">
        <v>856</v>
      </c>
    </row>
    <row r="75" spans="1:6" ht="30" customHeight="1">
      <c r="A75" s="5" t="s">
        <v>747</v>
      </c>
      <c r="B75" s="5" t="s">
        <v>577</v>
      </c>
      <c r="C75" s="5" t="s">
        <v>454</v>
      </c>
      <c r="D75" s="5" t="s">
        <v>829</v>
      </c>
      <c r="E75" s="5" t="s">
        <v>857</v>
      </c>
      <c r="F75" s="5" t="s">
        <v>858</v>
      </c>
    </row>
    <row r="76" spans="1:6" ht="30" customHeight="1">
      <c r="A76" s="1" t="s">
        <v>859</v>
      </c>
      <c r="B76" s="1" t="s">
        <v>579</v>
      </c>
      <c r="C76" s="1" t="s">
        <v>308</v>
      </c>
      <c r="D76" s="1" t="s">
        <v>860</v>
      </c>
      <c r="E76" s="1" t="s">
        <v>861</v>
      </c>
      <c r="F76" s="1" t="s">
        <v>862</v>
      </c>
    </row>
    <row r="77" spans="1:6" ht="21" customHeight="1">
      <c r="A77" s="6" t="s">
        <v>788</v>
      </c>
      <c r="B77" s="6" t="s">
        <v>863</v>
      </c>
      <c r="C77" s="6" t="s">
        <v>789</v>
      </c>
      <c r="D77" s="6" t="s">
        <v>864</v>
      </c>
      <c r="E77" s="6" t="s">
        <v>791</v>
      </c>
      <c r="F77" s="6" t="s">
        <v>865</v>
      </c>
    </row>
    <row r="79" spans="1:6" ht="21" customHeight="1">
      <c r="A79" s="4" t="s">
        <v>866</v>
      </c>
      <c r="B79" s="4" t="s">
        <v>55</v>
      </c>
      <c r="C79" s="4" t="s">
        <v>289</v>
      </c>
      <c r="D79" s="4" t="s">
        <v>771</v>
      </c>
      <c r="E79" s="4" t="s">
        <v>5</v>
      </c>
      <c r="F79" s="4" t="s">
        <v>6</v>
      </c>
    </row>
    <row r="80" spans="1:6" ht="30" customHeight="1">
      <c r="A80" s="5" t="s">
        <v>867</v>
      </c>
      <c r="B80" s="5" t="s">
        <v>406</v>
      </c>
      <c r="C80" s="5" t="s">
        <v>458</v>
      </c>
      <c r="D80" s="5" t="s">
        <v>868</v>
      </c>
      <c r="E80" s="5" t="s">
        <v>869</v>
      </c>
      <c r="F80" s="5" t="s">
        <v>870</v>
      </c>
    </row>
    <row r="81" spans="1:6" ht="30" customHeight="1">
      <c r="A81" s="21" t="s">
        <v>458</v>
      </c>
      <c r="B81" s="21" t="s">
        <v>871</v>
      </c>
      <c r="C81" s="21" t="s">
        <v>454</v>
      </c>
      <c r="D81" s="21" t="s">
        <v>872</v>
      </c>
      <c r="E81" s="21" t="s">
        <v>873</v>
      </c>
      <c r="F81" s="21" t="s">
        <v>874</v>
      </c>
    </row>
    <row r="82" spans="1:6" ht="30" customHeight="1">
      <c r="A82" s="5" t="s">
        <v>747</v>
      </c>
      <c r="B82" s="5" t="s">
        <v>67</v>
      </c>
      <c r="C82" s="5" t="s">
        <v>454</v>
      </c>
      <c r="D82" s="5" t="s">
        <v>829</v>
      </c>
      <c r="E82" s="5" t="s">
        <v>875</v>
      </c>
      <c r="F82" s="5" t="s">
        <v>876</v>
      </c>
    </row>
    <row r="83" spans="1:6" ht="30" customHeight="1">
      <c r="A83" s="21" t="s">
        <v>859</v>
      </c>
      <c r="B83" s="21" t="s">
        <v>877</v>
      </c>
      <c r="C83" s="21" t="s">
        <v>73</v>
      </c>
      <c r="D83" s="21" t="s">
        <v>878</v>
      </c>
      <c r="E83" s="21" t="s">
        <v>879</v>
      </c>
      <c r="F83" s="21" t="s">
        <v>880</v>
      </c>
    </row>
    <row r="84" spans="1:6" ht="21" customHeight="1">
      <c r="A84" s="6" t="s">
        <v>881</v>
      </c>
      <c r="B84" s="6" t="s">
        <v>882</v>
      </c>
      <c r="C84" s="6" t="s">
        <v>883</v>
      </c>
      <c r="D84" s="6" t="s">
        <v>884</v>
      </c>
      <c r="E84" s="6" t="s">
        <v>885</v>
      </c>
      <c r="F84" s="6" t="s">
        <v>886</v>
      </c>
    </row>
    <row r="86" spans="1:6" ht="21" customHeight="1">
      <c r="A86" s="109" t="s">
        <v>887</v>
      </c>
      <c r="B86" s="109"/>
      <c r="C86" s="109"/>
      <c r="D86" s="109"/>
      <c r="E86" s="109"/>
      <c r="F86" s="109"/>
    </row>
    <row r="87" spans="1:6" ht="21" customHeight="1">
      <c r="A87" s="4" t="s">
        <v>888</v>
      </c>
      <c r="B87" s="4" t="s">
        <v>889</v>
      </c>
      <c r="C87" s="4" t="s">
        <v>890</v>
      </c>
      <c r="D87" s="4" t="s">
        <v>891</v>
      </c>
      <c r="E87" s="4" t="s">
        <v>742</v>
      </c>
      <c r="F87" s="4" t="s">
        <v>892</v>
      </c>
    </row>
    <row r="88" spans="1:6" ht="27" customHeight="1">
      <c r="A88" s="5" t="s">
        <v>893</v>
      </c>
      <c r="B88" s="5" t="str">
        <f>"0x01"</f>
        <v>0x01</v>
      </c>
      <c r="C88" s="5" t="s">
        <v>118</v>
      </c>
      <c r="D88" s="5" t="str">
        <f>"0x02"</f>
        <v>0x02</v>
      </c>
      <c r="E88" s="5" t="s">
        <v>894</v>
      </c>
      <c r="F88" s="5" t="s">
        <v>895</v>
      </c>
    </row>
    <row r="89" spans="1:6" ht="27" customHeight="1">
      <c r="A89" s="1" t="s">
        <v>896</v>
      </c>
      <c r="B89" s="1" t="str">
        <f>"0x02"</f>
        <v>0x02</v>
      </c>
      <c r="C89" s="1" t="s">
        <v>122</v>
      </c>
      <c r="D89" s="1" t="str">
        <f>"0x03"</f>
        <v>0x03</v>
      </c>
      <c r="E89" s="21" t="s">
        <v>1055</v>
      </c>
      <c r="F89" s="21" t="s">
        <v>1056</v>
      </c>
    </row>
    <row r="90" spans="1:6" ht="27" customHeight="1">
      <c r="A90" s="5" t="s">
        <v>897</v>
      </c>
      <c r="B90" s="5" t="str">
        <f>"0x04"</f>
        <v>0x04</v>
      </c>
      <c r="C90" s="5" t="s">
        <v>133</v>
      </c>
      <c r="D90" s="5" t="str">
        <f>"0x10"</f>
        <v>0x10</v>
      </c>
      <c r="E90" s="5" t="s">
        <v>898</v>
      </c>
      <c r="F90" s="5" t="s">
        <v>899</v>
      </c>
    </row>
    <row r="91" spans="1:6" ht="27" customHeight="1">
      <c r="A91" s="1" t="s">
        <v>900</v>
      </c>
      <c r="B91" s="1" t="s">
        <v>901</v>
      </c>
      <c r="C91" s="1" t="s">
        <v>9</v>
      </c>
      <c r="D91" s="1" t="s">
        <v>9</v>
      </c>
      <c r="E91" s="1" t="s">
        <v>902</v>
      </c>
      <c r="F91" s="1" t="s">
        <v>903</v>
      </c>
    </row>
    <row r="93" spans="1:6" ht="21" customHeight="1">
      <c r="A93" s="109" t="s">
        <v>904</v>
      </c>
      <c r="B93" s="109"/>
      <c r="C93" s="109"/>
      <c r="D93" s="109"/>
      <c r="E93" s="109"/>
      <c r="F93" s="109"/>
    </row>
    <row r="94" spans="1:6" ht="21" customHeight="1">
      <c r="A94" s="4" t="s">
        <v>888</v>
      </c>
      <c r="B94" s="4" t="s">
        <v>889</v>
      </c>
      <c r="C94" s="4" t="s">
        <v>110</v>
      </c>
      <c r="D94" s="4" t="s">
        <v>905</v>
      </c>
      <c r="E94" s="4" t="s">
        <v>906</v>
      </c>
      <c r="F94" s="4" t="s">
        <v>6</v>
      </c>
    </row>
    <row r="95" spans="1:6" ht="33" customHeight="1">
      <c r="A95" s="5" t="s">
        <v>893</v>
      </c>
      <c r="B95" s="5" t="str">
        <f>"0x01"</f>
        <v>0x01</v>
      </c>
      <c r="C95" s="5" t="s">
        <v>907</v>
      </c>
      <c r="D95" s="5" t="s">
        <v>908</v>
      </c>
      <c r="E95" s="5" t="s">
        <v>909</v>
      </c>
      <c r="F95" s="5" t="s">
        <v>910</v>
      </c>
    </row>
    <row r="96" spans="1:6" ht="33" customHeight="1">
      <c r="A96" s="7" t="s">
        <v>896</v>
      </c>
      <c r="B96" s="7" t="str">
        <f>"0x02"</f>
        <v>0x02</v>
      </c>
      <c r="C96" s="7" t="s">
        <v>911</v>
      </c>
      <c r="D96" s="7" t="s">
        <v>912</v>
      </c>
      <c r="E96" s="7" t="s">
        <v>913</v>
      </c>
      <c r="F96" s="7" t="s">
        <v>914</v>
      </c>
    </row>
    <row r="97" spans="1:6" ht="33" customHeight="1">
      <c r="A97" s="8" t="s">
        <v>897</v>
      </c>
      <c r="B97" s="8" t="str">
        <f>"0x04"</f>
        <v>0x04</v>
      </c>
      <c r="C97" s="8" t="s">
        <v>915</v>
      </c>
      <c r="D97" s="8" t="s">
        <v>916</v>
      </c>
      <c r="E97" s="8" t="s">
        <v>917</v>
      </c>
      <c r="F97" s="8" t="s">
        <v>918</v>
      </c>
    </row>
    <row r="98" spans="1:6" ht="33" customHeight="1">
      <c r="A98" s="9" t="s">
        <v>919</v>
      </c>
      <c r="B98" s="9" t="str">
        <f>"0x08"</f>
        <v>0x08</v>
      </c>
      <c r="C98" s="9" t="s">
        <v>920</v>
      </c>
      <c r="D98" s="9" t="s">
        <v>921</v>
      </c>
      <c r="E98" s="9" t="s">
        <v>922</v>
      </c>
      <c r="F98" s="9" t="s">
        <v>831</v>
      </c>
    </row>
    <row r="99" spans="1:6" ht="33" customHeight="1">
      <c r="A99" s="8" t="s">
        <v>923</v>
      </c>
      <c r="B99" s="8" t="s">
        <v>132</v>
      </c>
      <c r="C99" s="8" t="s">
        <v>924</v>
      </c>
      <c r="D99" s="8" t="s">
        <v>925</v>
      </c>
      <c r="E99" s="8" t="s">
        <v>926</v>
      </c>
      <c r="F99" s="8" t="s">
        <v>927</v>
      </c>
    </row>
    <row r="100" spans="1:6" ht="19.5" customHeight="1">
      <c r="A100" s="22" t="s">
        <v>928</v>
      </c>
      <c r="B100" s="22" t="s">
        <v>901</v>
      </c>
      <c r="C100" s="22" t="s">
        <v>9</v>
      </c>
      <c r="D100" s="22" t="s">
        <v>901</v>
      </c>
      <c r="E100" s="22" t="s">
        <v>929</v>
      </c>
      <c r="F100" s="22" t="s">
        <v>930</v>
      </c>
    </row>
    <row r="101" spans="1:6" ht="36" customHeight="1">
      <c r="A101" s="23"/>
      <c r="B101" s="23"/>
      <c r="C101" s="23"/>
      <c r="D101" s="23"/>
      <c r="E101" s="23"/>
      <c r="F101" s="23"/>
    </row>
    <row r="102" spans="1:6" ht="21" customHeight="1">
      <c r="A102" s="109" t="s">
        <v>931</v>
      </c>
      <c r="B102" s="109"/>
      <c r="C102" s="109"/>
      <c r="D102" s="109"/>
      <c r="E102" s="109"/>
      <c r="F102" s="109"/>
    </row>
    <row r="103" spans="1:6" ht="21" customHeight="1">
      <c r="A103" s="4" t="s">
        <v>2</v>
      </c>
      <c r="B103" s="4" t="s">
        <v>110</v>
      </c>
      <c r="C103" s="4" t="s">
        <v>932</v>
      </c>
      <c r="D103" s="4" t="s">
        <v>933</v>
      </c>
      <c r="E103" s="4" t="s">
        <v>934</v>
      </c>
      <c r="F103" s="4" t="s">
        <v>6</v>
      </c>
    </row>
    <row r="104" spans="1:6" ht="33" customHeight="1">
      <c r="A104" s="5" t="str">
        <f>"0x00"</f>
        <v>0x00</v>
      </c>
      <c r="B104" s="5" t="s">
        <v>935</v>
      </c>
      <c r="C104" s="5" t="s">
        <v>936</v>
      </c>
      <c r="D104" s="130" t="s">
        <v>1669</v>
      </c>
      <c r="E104" s="131" t="s">
        <v>1670</v>
      </c>
      <c r="F104" s="130" t="s">
        <v>1671</v>
      </c>
    </row>
    <row r="105" spans="1:6" ht="33" customHeight="1">
      <c r="A105" s="1" t="str">
        <f>"0x01"</f>
        <v>0x01</v>
      </c>
      <c r="B105" s="1" t="s">
        <v>937</v>
      </c>
      <c r="C105" s="1" t="s">
        <v>938</v>
      </c>
      <c r="D105" s="1" t="s">
        <v>939</v>
      </c>
      <c r="E105" s="1" t="s">
        <v>940</v>
      </c>
      <c r="F105" s="1"/>
    </row>
    <row r="106" spans="1:6" ht="33" customHeight="1">
      <c r="A106" s="5" t="str">
        <f>"0x02"</f>
        <v>0x02</v>
      </c>
      <c r="B106" s="5" t="s">
        <v>941</v>
      </c>
      <c r="C106" s="5" t="s">
        <v>942</v>
      </c>
      <c r="D106" s="130" t="s">
        <v>1672</v>
      </c>
      <c r="E106" s="130" t="s">
        <v>1673</v>
      </c>
      <c r="F106" s="130" t="s">
        <v>1674</v>
      </c>
    </row>
    <row r="107" spans="1:6" ht="33" customHeight="1">
      <c r="A107" s="1" t="str">
        <f>"0x10"</f>
        <v>0x10</v>
      </c>
      <c r="B107" s="1" t="s">
        <v>943</v>
      </c>
      <c r="C107" s="1" t="s">
        <v>944</v>
      </c>
      <c r="D107" s="1" t="s">
        <v>945</v>
      </c>
      <c r="E107" s="1" t="s">
        <v>946</v>
      </c>
      <c r="F107" s="1"/>
    </row>
    <row r="108" spans="1:6" ht="33" customHeight="1">
      <c r="A108" s="5" t="str">
        <f>"0x11"</f>
        <v>0x11</v>
      </c>
      <c r="B108" s="5" t="s">
        <v>947</v>
      </c>
      <c r="C108" s="5" t="s">
        <v>948</v>
      </c>
      <c r="D108" s="5" t="s">
        <v>746</v>
      </c>
      <c r="E108" s="5" t="s">
        <v>949</v>
      </c>
      <c r="F108" s="5"/>
    </row>
    <row r="109" spans="1:6" ht="33" customHeight="1">
      <c r="A109" s="1" t="str">
        <f>"0x12"</f>
        <v>0x12</v>
      </c>
      <c r="B109" s="1" t="s">
        <v>950</v>
      </c>
      <c r="C109" s="1" t="s">
        <v>951</v>
      </c>
      <c r="D109" s="1" t="s">
        <v>952</v>
      </c>
      <c r="E109" s="1" t="s">
        <v>953</v>
      </c>
      <c r="F109" s="1"/>
    </row>
    <row r="110" spans="1:6" ht="33" customHeight="1">
      <c r="A110" s="5" t="str">
        <f>"0x13"</f>
        <v>0x13</v>
      </c>
      <c r="B110" s="5" t="s">
        <v>954</v>
      </c>
      <c r="C110" s="5" t="s">
        <v>955</v>
      </c>
      <c r="D110" s="5" t="s">
        <v>945</v>
      </c>
      <c r="E110" s="5" t="s">
        <v>956</v>
      </c>
      <c r="F110" s="5"/>
    </row>
    <row r="111" spans="1:6" ht="33" customHeight="1">
      <c r="A111" s="1" t="str">
        <f>"0x14"</f>
        <v>0x14</v>
      </c>
      <c r="B111" s="1" t="s">
        <v>957</v>
      </c>
      <c r="C111" s="1" t="s">
        <v>958</v>
      </c>
      <c r="D111" s="1" t="s">
        <v>945</v>
      </c>
      <c r="E111" s="1" t="s">
        <v>959</v>
      </c>
      <c r="F111" s="1"/>
    </row>
    <row r="112" spans="1:6" ht="33" customHeight="1">
      <c r="A112" s="5" t="str">
        <f>"0xFF"</f>
        <v>0xFF</v>
      </c>
      <c r="B112" s="5" t="s">
        <v>960</v>
      </c>
      <c r="C112" s="5" t="s">
        <v>961</v>
      </c>
      <c r="D112" s="5" t="s">
        <v>945</v>
      </c>
      <c r="E112" s="5" t="s">
        <v>962</v>
      </c>
      <c r="F112" s="5"/>
    </row>
  </sheetData>
  <mergeCells count="20">
    <mergeCell ref="A41:F41"/>
    <mergeCell ref="A48:F48"/>
    <mergeCell ref="A49:F49"/>
    <mergeCell ref="A61:F61"/>
    <mergeCell ref="A102:F102"/>
    <mergeCell ref="A62:F62"/>
    <mergeCell ref="A70:F70"/>
    <mergeCell ref="A71:F71"/>
    <mergeCell ref="A86:F86"/>
    <mergeCell ref="A93:F93"/>
    <mergeCell ref="A27:F27"/>
    <mergeCell ref="A28:F28"/>
    <mergeCell ref="A34:F34"/>
    <mergeCell ref="A35:F35"/>
    <mergeCell ref="A40:F40"/>
    <mergeCell ref="A1:F1"/>
    <mergeCell ref="A2:F2"/>
    <mergeCell ref="A4:F4"/>
    <mergeCell ref="A17:F17"/>
    <mergeCell ref="A18:F18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15"/>
  <sheetViews>
    <sheetView showGridLines="0" tabSelected="1" topLeftCell="A89" workbookViewId="0">
      <selection activeCell="M73" sqref="M73"/>
    </sheetView>
  </sheetViews>
  <sheetFormatPr defaultRowHeight="14.25"/>
  <cols>
    <col min="1" max="1" width="15" style="14" customWidth="1"/>
    <col min="2" max="2" width="25" style="14" customWidth="1"/>
    <col min="3" max="3" width="25.625" style="14" bestFit="1" customWidth="1"/>
    <col min="4" max="4" width="24" style="14" customWidth="1"/>
    <col min="5" max="5" width="35" style="14" customWidth="1"/>
    <col min="6" max="6" width="50" style="14" customWidth="1"/>
    <col min="7" max="16384" width="9" style="14"/>
  </cols>
  <sheetData>
    <row r="1" spans="1:6" ht="24" customHeight="1">
      <c r="A1" s="134" t="s">
        <v>1677</v>
      </c>
      <c r="B1" s="135" t="s">
        <v>1678</v>
      </c>
      <c r="C1" s="135" t="s">
        <v>1678</v>
      </c>
      <c r="D1" s="135" t="s">
        <v>1678</v>
      </c>
      <c r="E1" s="135" t="s">
        <v>1678</v>
      </c>
      <c r="F1" s="135" t="s">
        <v>1678</v>
      </c>
    </row>
    <row r="2" spans="1:6" ht="38.1" customHeight="1">
      <c r="A2" s="132" t="s">
        <v>1675</v>
      </c>
      <c r="B2" s="133" t="s">
        <v>1676</v>
      </c>
      <c r="C2" s="133" t="s">
        <v>1676</v>
      </c>
      <c r="D2" s="133" t="s">
        <v>1676</v>
      </c>
      <c r="E2" s="133" t="s">
        <v>1676</v>
      </c>
      <c r="F2" s="133" t="s">
        <v>1676</v>
      </c>
    </row>
    <row r="3" spans="1:6" ht="24" customHeight="1"/>
    <row r="4" spans="1:6" ht="24" customHeight="1">
      <c r="A4" s="112" t="s">
        <v>1179</v>
      </c>
      <c r="B4" s="112" t="s">
        <v>1179</v>
      </c>
      <c r="C4" s="112" t="s">
        <v>1179</v>
      </c>
      <c r="D4" s="112" t="s">
        <v>1179</v>
      </c>
      <c r="E4" s="112" t="s">
        <v>1179</v>
      </c>
      <c r="F4" s="112" t="s">
        <v>1179</v>
      </c>
    </row>
    <row r="5" spans="1:6" ht="24" customHeight="1">
      <c r="A5" s="15" t="s">
        <v>1180</v>
      </c>
      <c r="B5" s="15" t="s">
        <v>1181</v>
      </c>
      <c r="C5" s="15" t="s">
        <v>1182</v>
      </c>
      <c r="D5" s="15" t="s">
        <v>1183</v>
      </c>
      <c r="E5" s="15" t="s">
        <v>1184</v>
      </c>
      <c r="F5" s="15" t="s">
        <v>1185</v>
      </c>
    </row>
    <row r="6" spans="1:6" ht="38.1" customHeight="1">
      <c r="A6" s="16" t="s">
        <v>964</v>
      </c>
      <c r="B6" s="16" t="s">
        <v>1186</v>
      </c>
      <c r="C6" s="16" t="s">
        <v>1187</v>
      </c>
      <c r="D6" s="16" t="s">
        <v>1188</v>
      </c>
      <c r="E6" s="16" t="s">
        <v>1189</v>
      </c>
      <c r="F6" s="16" t="s">
        <v>1190</v>
      </c>
    </row>
    <row r="7" spans="1:6" ht="38.1" customHeight="1">
      <c r="A7" s="17" t="s">
        <v>965</v>
      </c>
      <c r="B7" s="17" t="s">
        <v>1191</v>
      </c>
      <c r="C7" s="17" t="s">
        <v>1192</v>
      </c>
      <c r="D7" s="17" t="s">
        <v>1193</v>
      </c>
      <c r="E7" s="17" t="s">
        <v>1194</v>
      </c>
      <c r="F7" s="17" t="s">
        <v>1195</v>
      </c>
    </row>
    <row r="8" spans="1:6" ht="38.1" customHeight="1">
      <c r="A8" s="16" t="s">
        <v>966</v>
      </c>
      <c r="B8" s="16" t="s">
        <v>1196</v>
      </c>
      <c r="C8" s="16" t="s">
        <v>1197</v>
      </c>
      <c r="D8" s="16" t="s">
        <v>1198</v>
      </c>
      <c r="E8" s="16" t="s">
        <v>1199</v>
      </c>
      <c r="F8" s="16" t="s">
        <v>1200</v>
      </c>
    </row>
    <row r="9" spans="1:6" ht="38.1" customHeight="1">
      <c r="A9" s="17" t="s">
        <v>967</v>
      </c>
      <c r="B9" s="17" t="s">
        <v>1201</v>
      </c>
      <c r="C9" s="17" t="s">
        <v>1202</v>
      </c>
      <c r="D9" s="17" t="s">
        <v>1203</v>
      </c>
      <c r="E9" s="17" t="s">
        <v>1204</v>
      </c>
      <c r="F9" s="17" t="s">
        <v>1205</v>
      </c>
    </row>
    <row r="10" spans="1:6" ht="38.1" customHeight="1">
      <c r="A10" s="16" t="s">
        <v>968</v>
      </c>
      <c r="B10" s="16" t="s">
        <v>1206</v>
      </c>
      <c r="C10" s="16" t="s">
        <v>1207</v>
      </c>
      <c r="D10" s="16" t="s">
        <v>1208</v>
      </c>
      <c r="E10" s="16" t="s">
        <v>1209</v>
      </c>
      <c r="F10" s="16" t="s">
        <v>1210</v>
      </c>
    </row>
    <row r="11" spans="1:6" ht="24" customHeight="1"/>
    <row r="12" spans="1:6" ht="24" customHeight="1">
      <c r="A12" s="138" t="s">
        <v>1687</v>
      </c>
      <c r="B12" s="139" t="s">
        <v>1688</v>
      </c>
      <c r="C12" s="139" t="s">
        <v>1688</v>
      </c>
      <c r="D12" s="139" t="s">
        <v>1688</v>
      </c>
      <c r="E12" s="139" t="s">
        <v>1688</v>
      </c>
      <c r="F12" s="139" t="s">
        <v>1688</v>
      </c>
    </row>
    <row r="13" spans="1:6" ht="24" customHeight="1">
      <c r="A13" s="15" t="s">
        <v>40</v>
      </c>
      <c r="B13" s="15" t="s">
        <v>741</v>
      </c>
      <c r="C13" s="15" t="s">
        <v>1211</v>
      </c>
      <c r="D13" s="15" t="s">
        <v>1212</v>
      </c>
      <c r="E13" s="15" t="s">
        <v>1213</v>
      </c>
      <c r="F13" s="15" t="s">
        <v>1214</v>
      </c>
    </row>
    <row r="14" spans="1:6" ht="24" customHeight="1">
      <c r="A14" s="18" t="s">
        <v>204</v>
      </c>
      <c r="B14" s="18" t="s">
        <v>222</v>
      </c>
      <c r="C14" s="16" t="s">
        <v>764</v>
      </c>
      <c r="D14" s="16" t="s">
        <v>1215</v>
      </c>
      <c r="E14" s="16" t="s">
        <v>765</v>
      </c>
      <c r="F14" s="16" t="s">
        <v>1216</v>
      </c>
    </row>
    <row r="15" spans="1:6" ht="24" customHeight="1">
      <c r="A15" s="19" t="s">
        <v>204</v>
      </c>
      <c r="B15" s="19" t="s">
        <v>766</v>
      </c>
      <c r="C15" s="17" t="s">
        <v>767</v>
      </c>
      <c r="D15" s="17" t="s">
        <v>1217</v>
      </c>
      <c r="E15" s="17" t="s">
        <v>768</v>
      </c>
      <c r="F15" s="17" t="s">
        <v>1218</v>
      </c>
    </row>
    <row r="16" spans="1:6" ht="24" customHeight="1">
      <c r="A16" s="136" t="s">
        <v>1679</v>
      </c>
      <c r="B16" s="137" t="s">
        <v>1680</v>
      </c>
      <c r="C16" s="137" t="s">
        <v>760</v>
      </c>
      <c r="D16" s="137" t="s">
        <v>1681</v>
      </c>
      <c r="E16" s="137" t="s">
        <v>467</v>
      </c>
      <c r="F16" s="137" t="s">
        <v>1682</v>
      </c>
    </row>
    <row r="17" spans="1:6" ht="24" customHeight="1"/>
    <row r="18" spans="1:6" ht="24" customHeight="1">
      <c r="A18" s="112" t="s">
        <v>1219</v>
      </c>
      <c r="B18" s="112" t="s">
        <v>1219</v>
      </c>
      <c r="C18" s="112" t="s">
        <v>1219</v>
      </c>
      <c r="D18" s="112" t="s">
        <v>1219</v>
      </c>
      <c r="E18" s="112" t="s">
        <v>1219</v>
      </c>
      <c r="F18" s="112" t="s">
        <v>1219</v>
      </c>
    </row>
    <row r="19" spans="1:6" ht="38.1" customHeight="1">
      <c r="A19" s="111" t="s">
        <v>1220</v>
      </c>
      <c r="B19" s="111" t="s">
        <v>1220</v>
      </c>
      <c r="C19" s="111" t="s">
        <v>1220</v>
      </c>
      <c r="D19" s="111" t="s">
        <v>1220</v>
      </c>
      <c r="E19" s="111" t="s">
        <v>1220</v>
      </c>
      <c r="F19" s="111" t="s">
        <v>1220</v>
      </c>
    </row>
    <row r="20" spans="1:6" ht="24" customHeight="1">
      <c r="A20" s="15" t="s">
        <v>1221</v>
      </c>
      <c r="B20" s="15" t="s">
        <v>1222</v>
      </c>
      <c r="C20" s="15" t="s">
        <v>1223</v>
      </c>
      <c r="D20" s="15" t="s">
        <v>1224</v>
      </c>
      <c r="E20" s="15" t="s">
        <v>1225</v>
      </c>
      <c r="F20" s="15" t="s">
        <v>1226</v>
      </c>
    </row>
    <row r="21" spans="1:6" ht="24" customHeight="1">
      <c r="A21" s="16" t="s">
        <v>452</v>
      </c>
      <c r="B21" s="16" t="s">
        <v>453</v>
      </c>
      <c r="C21" s="16" t="s">
        <v>454</v>
      </c>
      <c r="D21" s="16" t="s">
        <v>1227</v>
      </c>
      <c r="E21" s="16" t="s">
        <v>969</v>
      </c>
      <c r="F21" s="16" t="s">
        <v>1228</v>
      </c>
    </row>
    <row r="22" spans="1:6" ht="24" customHeight="1">
      <c r="A22" s="17" t="s">
        <v>456</v>
      </c>
      <c r="B22" s="17" t="s">
        <v>457</v>
      </c>
      <c r="C22" s="17" t="s">
        <v>458</v>
      </c>
      <c r="D22" s="17" t="s">
        <v>369</v>
      </c>
      <c r="E22" s="17" t="s">
        <v>1229</v>
      </c>
      <c r="F22" s="17" t="s">
        <v>1230</v>
      </c>
    </row>
    <row r="23" spans="1:6" ht="24" customHeight="1">
      <c r="A23" s="16" t="s">
        <v>460</v>
      </c>
      <c r="B23" s="16" t="s">
        <v>461</v>
      </c>
      <c r="C23" s="16" t="s">
        <v>462</v>
      </c>
      <c r="D23" s="16" t="s">
        <v>1231</v>
      </c>
      <c r="E23" s="16" t="s">
        <v>970</v>
      </c>
      <c r="F23" s="16" t="s">
        <v>1232</v>
      </c>
    </row>
    <row r="24" spans="1:6" ht="24" customHeight="1">
      <c r="A24" s="17" t="s">
        <v>614</v>
      </c>
      <c r="B24" s="17" t="s">
        <v>971</v>
      </c>
      <c r="C24" s="17" t="s">
        <v>454</v>
      </c>
      <c r="D24" s="17" t="s">
        <v>972</v>
      </c>
      <c r="E24" s="17" t="s">
        <v>973</v>
      </c>
      <c r="F24" s="17" t="s">
        <v>1233</v>
      </c>
    </row>
    <row r="25" spans="1:6" ht="24" customHeight="1">
      <c r="A25" s="16" t="s">
        <v>636</v>
      </c>
      <c r="B25" s="16" t="s">
        <v>974</v>
      </c>
      <c r="C25" s="16" t="s">
        <v>454</v>
      </c>
      <c r="D25" s="16" t="s">
        <v>867</v>
      </c>
      <c r="E25" s="16" t="s">
        <v>1234</v>
      </c>
      <c r="F25" s="16" t="s">
        <v>1235</v>
      </c>
    </row>
    <row r="26" spans="1:6" ht="24" customHeight="1">
      <c r="A26" s="17" t="s">
        <v>975</v>
      </c>
      <c r="B26" s="17" t="s">
        <v>976</v>
      </c>
      <c r="C26" s="17" t="s">
        <v>454</v>
      </c>
      <c r="D26" s="17" t="s">
        <v>829</v>
      </c>
      <c r="E26" s="17" t="s">
        <v>1236</v>
      </c>
      <c r="F26" s="17" t="s">
        <v>1237</v>
      </c>
    </row>
    <row r="27" spans="1:6" ht="24" customHeight="1">
      <c r="A27" s="16" t="s">
        <v>835</v>
      </c>
      <c r="B27" s="16" t="s">
        <v>640</v>
      </c>
      <c r="C27" s="16" t="s">
        <v>458</v>
      </c>
      <c r="D27" s="16" t="s">
        <v>369</v>
      </c>
      <c r="E27" s="16" t="s">
        <v>1238</v>
      </c>
      <c r="F27" s="16" t="s">
        <v>1239</v>
      </c>
    </row>
    <row r="28" spans="1:6" ht="24" customHeight="1">
      <c r="A28" s="17" t="s">
        <v>470</v>
      </c>
      <c r="B28" s="17" t="s">
        <v>441</v>
      </c>
      <c r="C28" s="17" t="s">
        <v>30</v>
      </c>
      <c r="D28" s="17" t="s">
        <v>1240</v>
      </c>
      <c r="E28" s="17" t="s">
        <v>1241</v>
      </c>
      <c r="F28" s="17" t="s">
        <v>1242</v>
      </c>
    </row>
    <row r="29" spans="1:6" ht="24" customHeight="1">
      <c r="A29" s="16" t="s">
        <v>977</v>
      </c>
      <c r="B29" s="16" t="s">
        <v>978</v>
      </c>
      <c r="C29" s="16" t="s">
        <v>458</v>
      </c>
      <c r="D29" s="16" t="s">
        <v>369</v>
      </c>
      <c r="E29" s="16" t="s">
        <v>1243</v>
      </c>
      <c r="F29" s="16" t="s">
        <v>1244</v>
      </c>
    </row>
    <row r="30" spans="1:6" ht="24" customHeight="1">
      <c r="A30" s="20" t="s">
        <v>1245</v>
      </c>
      <c r="B30" s="20" t="s">
        <v>476</v>
      </c>
      <c r="C30" s="20" t="s">
        <v>1246</v>
      </c>
      <c r="D30" s="20" t="s">
        <v>979</v>
      </c>
      <c r="E30" s="20" t="s">
        <v>1247</v>
      </c>
      <c r="F30" s="20" t="s">
        <v>1248</v>
      </c>
    </row>
    <row r="31" spans="1:6" ht="24" customHeight="1"/>
    <row r="32" spans="1:6" ht="24" customHeight="1">
      <c r="A32" s="112" t="s">
        <v>1249</v>
      </c>
      <c r="B32" s="112" t="s">
        <v>1249</v>
      </c>
      <c r="C32" s="112" t="s">
        <v>1249</v>
      </c>
      <c r="D32" s="112" t="s">
        <v>1249</v>
      </c>
      <c r="E32" s="112" t="s">
        <v>1249</v>
      </c>
      <c r="F32" s="112" t="s">
        <v>1249</v>
      </c>
    </row>
    <row r="33" spans="1:6" ht="38.1" customHeight="1">
      <c r="A33" s="111" t="s">
        <v>1250</v>
      </c>
      <c r="B33" s="111" t="s">
        <v>1250</v>
      </c>
      <c r="C33" s="111" t="s">
        <v>1250</v>
      </c>
      <c r="D33" s="111" t="s">
        <v>1250</v>
      </c>
      <c r="E33" s="111" t="s">
        <v>1250</v>
      </c>
      <c r="F33" s="111" t="s">
        <v>1250</v>
      </c>
    </row>
    <row r="34" spans="1:6" ht="24" customHeight="1">
      <c r="A34" s="15" t="s">
        <v>1221</v>
      </c>
      <c r="B34" s="15" t="s">
        <v>1222</v>
      </c>
      <c r="C34" s="15" t="s">
        <v>1223</v>
      </c>
      <c r="D34" s="15" t="s">
        <v>1224</v>
      </c>
      <c r="E34" s="15" t="s">
        <v>1225</v>
      </c>
      <c r="F34" s="15" t="s">
        <v>1226</v>
      </c>
    </row>
    <row r="35" spans="1:6" ht="24" customHeight="1">
      <c r="A35" s="16" t="s">
        <v>452</v>
      </c>
      <c r="B35" s="16" t="s">
        <v>453</v>
      </c>
      <c r="C35" s="16" t="s">
        <v>454</v>
      </c>
      <c r="D35" s="16" t="s">
        <v>1227</v>
      </c>
      <c r="E35" s="16" t="s">
        <v>1251</v>
      </c>
      <c r="F35" s="16" t="s">
        <v>1252</v>
      </c>
    </row>
    <row r="36" spans="1:6" ht="24" customHeight="1">
      <c r="A36" s="17" t="s">
        <v>456</v>
      </c>
      <c r="B36" s="17" t="s">
        <v>406</v>
      </c>
      <c r="C36" s="17" t="s">
        <v>458</v>
      </c>
      <c r="D36" s="17" t="s">
        <v>1253</v>
      </c>
      <c r="E36" s="17" t="s">
        <v>1254</v>
      </c>
      <c r="F36" s="17" t="s">
        <v>1255</v>
      </c>
    </row>
    <row r="37" spans="1:6" ht="24" customHeight="1">
      <c r="A37" s="16" t="s">
        <v>460</v>
      </c>
      <c r="B37" s="16" t="s">
        <v>461</v>
      </c>
      <c r="C37" s="16" t="s">
        <v>462</v>
      </c>
      <c r="D37" s="16" t="s">
        <v>1231</v>
      </c>
      <c r="E37" s="16" t="s">
        <v>1256</v>
      </c>
      <c r="F37" s="16" t="s">
        <v>1257</v>
      </c>
    </row>
    <row r="38" spans="1:6" ht="24" customHeight="1">
      <c r="A38" s="17" t="s">
        <v>616</v>
      </c>
      <c r="B38" s="17" t="s">
        <v>439</v>
      </c>
      <c r="C38" s="17" t="s">
        <v>30</v>
      </c>
      <c r="D38" s="17" t="s">
        <v>1258</v>
      </c>
      <c r="E38" s="17" t="s">
        <v>980</v>
      </c>
      <c r="F38" s="17" t="s">
        <v>1259</v>
      </c>
    </row>
    <row r="39" spans="1:6" ht="24" customHeight="1">
      <c r="A39" s="16" t="s">
        <v>618</v>
      </c>
      <c r="B39" s="16" t="s">
        <v>619</v>
      </c>
      <c r="C39" s="16" t="s">
        <v>458</v>
      </c>
      <c r="D39" s="16" t="s">
        <v>369</v>
      </c>
      <c r="E39" s="16" t="s">
        <v>1260</v>
      </c>
      <c r="F39" s="16" t="s">
        <v>1261</v>
      </c>
    </row>
    <row r="40" spans="1:6" ht="24" customHeight="1">
      <c r="A40" s="20" t="s">
        <v>1245</v>
      </c>
      <c r="B40" s="20" t="s">
        <v>621</v>
      </c>
      <c r="C40" s="20" t="s">
        <v>1246</v>
      </c>
      <c r="D40" s="20" t="s">
        <v>981</v>
      </c>
      <c r="E40" s="20" t="s">
        <v>1247</v>
      </c>
      <c r="F40" s="20" t="s">
        <v>1262</v>
      </c>
    </row>
    <row r="41" spans="1:6" ht="24" customHeight="1"/>
    <row r="42" spans="1:6" ht="24" customHeight="1">
      <c r="A42" s="112" t="s">
        <v>1263</v>
      </c>
      <c r="B42" s="112" t="s">
        <v>1263</v>
      </c>
      <c r="C42" s="112" t="s">
        <v>1263</v>
      </c>
      <c r="D42" s="112" t="s">
        <v>1263</v>
      </c>
      <c r="E42" s="112" t="s">
        <v>1263</v>
      </c>
      <c r="F42" s="112" t="s">
        <v>1263</v>
      </c>
    </row>
    <row r="43" spans="1:6" ht="38.1" customHeight="1">
      <c r="A43" s="111" t="s">
        <v>1264</v>
      </c>
      <c r="B43" s="111" t="s">
        <v>1264</v>
      </c>
      <c r="C43" s="111" t="s">
        <v>1264</v>
      </c>
      <c r="D43" s="111" t="s">
        <v>1264</v>
      </c>
      <c r="E43" s="111" t="s">
        <v>1264</v>
      </c>
      <c r="F43" s="111" t="s">
        <v>1264</v>
      </c>
    </row>
    <row r="44" spans="1:6" ht="24" customHeight="1">
      <c r="A44" s="15" t="s">
        <v>1221</v>
      </c>
      <c r="B44" s="15" t="s">
        <v>1222</v>
      </c>
      <c r="C44" s="15" t="s">
        <v>1223</v>
      </c>
      <c r="D44" s="15" t="s">
        <v>1224</v>
      </c>
      <c r="E44" s="15" t="s">
        <v>1225</v>
      </c>
      <c r="F44" s="15" t="s">
        <v>1226</v>
      </c>
    </row>
    <row r="45" spans="1:6" ht="24" customHeight="1">
      <c r="A45" s="16" t="s">
        <v>452</v>
      </c>
      <c r="B45" s="16" t="s">
        <v>453</v>
      </c>
      <c r="C45" s="16" t="s">
        <v>454</v>
      </c>
      <c r="D45" s="16" t="s">
        <v>1227</v>
      </c>
      <c r="E45" s="16" t="s">
        <v>1265</v>
      </c>
      <c r="F45" s="16" t="s">
        <v>1252</v>
      </c>
    </row>
    <row r="46" spans="1:6" ht="24" customHeight="1">
      <c r="A46" s="17" t="s">
        <v>456</v>
      </c>
      <c r="B46" s="17" t="s">
        <v>406</v>
      </c>
      <c r="C46" s="17" t="s">
        <v>458</v>
      </c>
      <c r="D46" s="17" t="s">
        <v>1253</v>
      </c>
      <c r="E46" s="17" t="s">
        <v>1266</v>
      </c>
      <c r="F46" s="17" t="s">
        <v>1255</v>
      </c>
    </row>
    <row r="47" spans="1:6" ht="24" customHeight="1">
      <c r="A47" s="16" t="s">
        <v>460</v>
      </c>
      <c r="B47" s="16" t="s">
        <v>461</v>
      </c>
      <c r="C47" s="16" t="s">
        <v>462</v>
      </c>
      <c r="D47" s="16" t="s">
        <v>1231</v>
      </c>
      <c r="E47" s="16" t="s">
        <v>1267</v>
      </c>
      <c r="F47" s="16" t="s">
        <v>1268</v>
      </c>
    </row>
    <row r="48" spans="1:6" ht="24" customHeight="1">
      <c r="A48" s="17" t="s">
        <v>616</v>
      </c>
      <c r="B48" s="17" t="s">
        <v>439</v>
      </c>
      <c r="C48" s="17" t="s">
        <v>30</v>
      </c>
      <c r="D48" s="17" t="s">
        <v>1258</v>
      </c>
      <c r="E48" s="17" t="s">
        <v>980</v>
      </c>
      <c r="F48" s="17" t="s">
        <v>1269</v>
      </c>
    </row>
    <row r="49" spans="1:6" ht="24" customHeight="1">
      <c r="A49" s="16" t="s">
        <v>618</v>
      </c>
      <c r="B49" s="16" t="s">
        <v>638</v>
      </c>
      <c r="C49" s="16" t="s">
        <v>458</v>
      </c>
      <c r="D49" s="16" t="s">
        <v>369</v>
      </c>
      <c r="E49" s="16" t="s">
        <v>1270</v>
      </c>
      <c r="F49" s="16" t="s">
        <v>1261</v>
      </c>
    </row>
    <row r="50" spans="1:6" ht="24" customHeight="1">
      <c r="A50" s="17" t="s">
        <v>639</v>
      </c>
      <c r="B50" s="17" t="s">
        <v>640</v>
      </c>
      <c r="C50" s="17" t="s">
        <v>458</v>
      </c>
      <c r="D50" s="17" t="s">
        <v>369</v>
      </c>
      <c r="E50" s="17" t="s">
        <v>1271</v>
      </c>
      <c r="F50" s="17" t="s">
        <v>1272</v>
      </c>
    </row>
    <row r="51" spans="1:6" ht="24" customHeight="1">
      <c r="A51" s="20" t="s">
        <v>1245</v>
      </c>
      <c r="B51" s="20" t="s">
        <v>641</v>
      </c>
      <c r="C51" s="20" t="s">
        <v>1246</v>
      </c>
      <c r="D51" s="20" t="s">
        <v>982</v>
      </c>
      <c r="E51" s="20" t="s">
        <v>1247</v>
      </c>
      <c r="F51" s="20" t="s">
        <v>1262</v>
      </c>
    </row>
    <row r="52" spans="1:6" ht="24" customHeight="1"/>
    <row r="53" spans="1:6" ht="24" customHeight="1">
      <c r="A53" s="138" t="s">
        <v>1685</v>
      </c>
      <c r="B53" s="139" t="s">
        <v>1686</v>
      </c>
      <c r="C53" s="139" t="s">
        <v>1686</v>
      </c>
      <c r="D53" s="139" t="s">
        <v>1686</v>
      </c>
      <c r="E53" s="139" t="s">
        <v>1686</v>
      </c>
      <c r="F53" s="139" t="s">
        <v>1686</v>
      </c>
    </row>
    <row r="54" spans="1:6" ht="38.1" customHeight="1">
      <c r="A54" s="132" t="s">
        <v>1683</v>
      </c>
      <c r="B54" s="133" t="s">
        <v>1684</v>
      </c>
      <c r="C54" s="133" t="s">
        <v>1684</v>
      </c>
      <c r="D54" s="133" t="s">
        <v>1684</v>
      </c>
      <c r="E54" s="133" t="s">
        <v>1684</v>
      </c>
      <c r="F54" s="133" t="s">
        <v>1684</v>
      </c>
    </row>
    <row r="55" spans="1:6" ht="24" customHeight="1">
      <c r="A55" s="15" t="s">
        <v>1221</v>
      </c>
      <c r="B55" s="15" t="s">
        <v>1222</v>
      </c>
      <c r="C55" s="15" t="s">
        <v>1223</v>
      </c>
      <c r="D55" s="15" t="s">
        <v>1224</v>
      </c>
      <c r="E55" s="15" t="s">
        <v>1225</v>
      </c>
      <c r="F55" s="15" t="s">
        <v>1226</v>
      </c>
    </row>
    <row r="56" spans="1:6" ht="24" customHeight="1">
      <c r="A56" s="16" t="s">
        <v>452</v>
      </c>
      <c r="B56" s="16" t="s">
        <v>741</v>
      </c>
      <c r="C56" s="16" t="s">
        <v>454</v>
      </c>
      <c r="D56" s="16" t="s">
        <v>1273</v>
      </c>
      <c r="E56" s="16" t="s">
        <v>764</v>
      </c>
      <c r="F56" s="16" t="s">
        <v>1274</v>
      </c>
    </row>
    <row r="57" spans="1:6" ht="24" customHeight="1">
      <c r="A57" s="17" t="s">
        <v>456</v>
      </c>
      <c r="B57" s="17" t="s">
        <v>983</v>
      </c>
      <c r="C57" s="17" t="s">
        <v>458</v>
      </c>
      <c r="D57" s="17" t="s">
        <v>1253</v>
      </c>
      <c r="E57" s="17" t="s">
        <v>1275</v>
      </c>
      <c r="F57" s="17" t="s">
        <v>1276</v>
      </c>
    </row>
    <row r="58" spans="1:6" ht="24" customHeight="1">
      <c r="A58" s="16" t="s">
        <v>460</v>
      </c>
      <c r="B58" s="16" t="s">
        <v>461</v>
      </c>
      <c r="C58" s="16" t="s">
        <v>462</v>
      </c>
      <c r="D58" s="16" t="s">
        <v>1231</v>
      </c>
      <c r="E58" s="16" t="s">
        <v>1277</v>
      </c>
      <c r="F58" s="16" t="s">
        <v>1278</v>
      </c>
    </row>
    <row r="59" spans="1:6" ht="24" customHeight="1">
      <c r="A59" s="17" t="s">
        <v>614</v>
      </c>
      <c r="B59" s="17" t="s">
        <v>971</v>
      </c>
      <c r="C59" s="17" t="s">
        <v>454</v>
      </c>
      <c r="D59" s="17" t="s">
        <v>972</v>
      </c>
      <c r="E59" s="17" t="s">
        <v>1279</v>
      </c>
      <c r="F59" s="17" t="s">
        <v>1233</v>
      </c>
    </row>
    <row r="60" spans="1:6" ht="24" customHeight="1">
      <c r="A60" s="16" t="s">
        <v>636</v>
      </c>
      <c r="B60" s="16" t="s">
        <v>984</v>
      </c>
      <c r="C60" s="16" t="s">
        <v>454</v>
      </c>
      <c r="D60" s="16" t="s">
        <v>1233</v>
      </c>
      <c r="E60" s="16" t="s">
        <v>1280</v>
      </c>
      <c r="F60" s="16" t="s">
        <v>1281</v>
      </c>
    </row>
    <row r="61" spans="1:6" ht="24" customHeight="1">
      <c r="A61" s="17" t="s">
        <v>985</v>
      </c>
      <c r="B61" s="17" t="s">
        <v>619</v>
      </c>
      <c r="C61" s="17" t="s">
        <v>458</v>
      </c>
      <c r="D61" s="17" t="s">
        <v>369</v>
      </c>
      <c r="E61" s="17" t="s">
        <v>1282</v>
      </c>
      <c r="F61" s="17" t="s">
        <v>1283</v>
      </c>
    </row>
    <row r="62" spans="1:6" ht="24" customHeight="1">
      <c r="A62" s="16" t="s">
        <v>986</v>
      </c>
      <c r="B62" s="16" t="s">
        <v>638</v>
      </c>
      <c r="C62" s="16" t="s">
        <v>458</v>
      </c>
      <c r="D62" s="16" t="s">
        <v>369</v>
      </c>
      <c r="E62" s="16" t="s">
        <v>1284</v>
      </c>
      <c r="F62" s="16" t="s">
        <v>1285</v>
      </c>
    </row>
    <row r="63" spans="1:6" ht="24" customHeight="1">
      <c r="A63" s="17" t="s">
        <v>987</v>
      </c>
      <c r="B63" s="17" t="s">
        <v>640</v>
      </c>
      <c r="C63" s="17" t="s">
        <v>458</v>
      </c>
      <c r="D63" s="17" t="s">
        <v>369</v>
      </c>
      <c r="E63" s="17" t="s">
        <v>1238</v>
      </c>
      <c r="F63" s="17" t="s">
        <v>1286</v>
      </c>
    </row>
    <row r="64" spans="1:6" ht="24" customHeight="1">
      <c r="A64" s="16" t="s">
        <v>988</v>
      </c>
      <c r="B64" s="16" t="s">
        <v>457</v>
      </c>
      <c r="C64" s="16" t="s">
        <v>458</v>
      </c>
      <c r="D64" s="16" t="s">
        <v>369</v>
      </c>
      <c r="E64" s="16" t="s">
        <v>1287</v>
      </c>
      <c r="F64" s="16" t="s">
        <v>1288</v>
      </c>
    </row>
    <row r="65" spans="1:6" ht="24" customHeight="1">
      <c r="A65" s="17" t="s">
        <v>989</v>
      </c>
      <c r="B65" s="17" t="s">
        <v>974</v>
      </c>
      <c r="C65" s="17" t="s">
        <v>454</v>
      </c>
      <c r="D65" s="17" t="s">
        <v>867</v>
      </c>
      <c r="E65" s="17" t="s">
        <v>1289</v>
      </c>
      <c r="F65" s="17" t="s">
        <v>1290</v>
      </c>
    </row>
    <row r="66" spans="1:6" ht="24" customHeight="1">
      <c r="A66" s="16" t="s">
        <v>990</v>
      </c>
      <c r="B66" s="16" t="s">
        <v>976</v>
      </c>
      <c r="C66" s="16" t="s">
        <v>454</v>
      </c>
      <c r="D66" s="16" t="s">
        <v>829</v>
      </c>
      <c r="E66" s="16" t="s">
        <v>1291</v>
      </c>
      <c r="F66" s="16" t="s">
        <v>1292</v>
      </c>
    </row>
    <row r="67" spans="1:6" ht="24" customHeight="1">
      <c r="A67" s="20" t="s">
        <v>1245</v>
      </c>
      <c r="B67" s="20" t="s">
        <v>765</v>
      </c>
      <c r="C67" s="20" t="s">
        <v>1246</v>
      </c>
      <c r="D67" s="20" t="s">
        <v>637</v>
      </c>
      <c r="E67" s="20" t="s">
        <v>1247</v>
      </c>
      <c r="F67" s="20" t="s">
        <v>1248</v>
      </c>
    </row>
    <row r="68" spans="1:6" ht="24" customHeight="1"/>
    <row r="69" spans="1:6" ht="24" customHeight="1">
      <c r="A69" s="112" t="s">
        <v>1293</v>
      </c>
      <c r="B69" s="112" t="s">
        <v>1293</v>
      </c>
      <c r="C69" s="112" t="s">
        <v>1293</v>
      </c>
      <c r="D69" s="112" t="s">
        <v>1293</v>
      </c>
      <c r="E69" s="112" t="s">
        <v>1293</v>
      </c>
      <c r="F69" s="112" t="s">
        <v>1293</v>
      </c>
    </row>
    <row r="70" spans="1:6" ht="38.1" customHeight="1">
      <c r="A70" s="111" t="s">
        <v>1294</v>
      </c>
      <c r="B70" s="111" t="s">
        <v>1294</v>
      </c>
      <c r="C70" s="111" t="s">
        <v>1294</v>
      </c>
      <c r="D70" s="111" t="s">
        <v>1294</v>
      </c>
      <c r="E70" s="111" t="s">
        <v>1294</v>
      </c>
      <c r="F70" s="111" t="s">
        <v>1294</v>
      </c>
    </row>
    <row r="71" spans="1:6" ht="24" customHeight="1">
      <c r="A71" s="15" t="s">
        <v>1221</v>
      </c>
      <c r="B71" s="15" t="s">
        <v>1222</v>
      </c>
      <c r="C71" s="15" t="s">
        <v>1223</v>
      </c>
      <c r="D71" s="15" t="s">
        <v>1224</v>
      </c>
      <c r="E71" s="15" t="s">
        <v>1225</v>
      </c>
      <c r="F71" s="15" t="s">
        <v>1226</v>
      </c>
    </row>
    <row r="72" spans="1:6" ht="24" customHeight="1">
      <c r="A72" s="16" t="s">
        <v>452</v>
      </c>
      <c r="B72" s="16" t="s">
        <v>741</v>
      </c>
      <c r="C72" s="16" t="s">
        <v>454</v>
      </c>
      <c r="D72" s="16" t="s">
        <v>1295</v>
      </c>
      <c r="E72" s="16" t="s">
        <v>767</v>
      </c>
      <c r="F72" s="16" t="s">
        <v>1274</v>
      </c>
    </row>
    <row r="73" spans="1:6" ht="24" customHeight="1">
      <c r="A73" s="17" t="s">
        <v>456</v>
      </c>
      <c r="B73" s="17" t="s">
        <v>457</v>
      </c>
      <c r="C73" s="17" t="s">
        <v>458</v>
      </c>
      <c r="D73" s="17" t="s">
        <v>369</v>
      </c>
      <c r="E73" s="17" t="s">
        <v>1296</v>
      </c>
      <c r="F73" s="17" t="s">
        <v>1297</v>
      </c>
    </row>
    <row r="74" spans="1:6" ht="24" customHeight="1">
      <c r="A74" s="16" t="s">
        <v>777</v>
      </c>
      <c r="B74" s="16" t="s">
        <v>805</v>
      </c>
      <c r="C74" s="16" t="s">
        <v>458</v>
      </c>
      <c r="D74" s="16" t="s">
        <v>369</v>
      </c>
      <c r="E74" s="16" t="s">
        <v>1298</v>
      </c>
      <c r="F74" s="16" t="s">
        <v>1299</v>
      </c>
    </row>
    <row r="75" spans="1:6" ht="24" customHeight="1">
      <c r="A75" s="17" t="s">
        <v>991</v>
      </c>
      <c r="B75" s="17" t="s">
        <v>461</v>
      </c>
      <c r="C75" s="17" t="s">
        <v>462</v>
      </c>
      <c r="D75" s="17" t="s">
        <v>1231</v>
      </c>
      <c r="E75" s="17" t="s">
        <v>1300</v>
      </c>
      <c r="F75" s="17" t="s">
        <v>1301</v>
      </c>
    </row>
    <row r="76" spans="1:6" ht="24" customHeight="1">
      <c r="A76" s="16" t="s">
        <v>790</v>
      </c>
      <c r="B76" s="16" t="s">
        <v>971</v>
      </c>
      <c r="C76" s="16" t="s">
        <v>454</v>
      </c>
      <c r="D76" s="16" t="s">
        <v>972</v>
      </c>
      <c r="E76" s="16" t="s">
        <v>1302</v>
      </c>
      <c r="F76" s="16" t="s">
        <v>1233</v>
      </c>
    </row>
    <row r="77" spans="1:6" ht="24" customHeight="1">
      <c r="A77" s="17" t="s">
        <v>992</v>
      </c>
      <c r="B77" s="17" t="s">
        <v>993</v>
      </c>
      <c r="C77" s="17" t="s">
        <v>454</v>
      </c>
      <c r="D77" s="17" t="s">
        <v>994</v>
      </c>
      <c r="E77" s="17" t="s">
        <v>995</v>
      </c>
      <c r="F77" s="17" t="s">
        <v>1303</v>
      </c>
    </row>
    <row r="78" spans="1:6" ht="24" customHeight="1">
      <c r="A78" s="16" t="s">
        <v>996</v>
      </c>
      <c r="B78" s="16" t="s">
        <v>523</v>
      </c>
      <c r="C78" s="16" t="s">
        <v>454</v>
      </c>
      <c r="D78" s="16" t="s">
        <v>997</v>
      </c>
      <c r="E78" s="16" t="s">
        <v>1304</v>
      </c>
      <c r="F78" s="16" t="s">
        <v>1305</v>
      </c>
    </row>
    <row r="79" spans="1:6" ht="24" customHeight="1">
      <c r="A79" s="17" t="s">
        <v>998</v>
      </c>
      <c r="B79" s="17" t="s">
        <v>439</v>
      </c>
      <c r="C79" s="17" t="s">
        <v>73</v>
      </c>
      <c r="D79" s="17" t="s">
        <v>999</v>
      </c>
      <c r="E79" s="17" t="s">
        <v>1306</v>
      </c>
      <c r="F79" s="17" t="s">
        <v>1307</v>
      </c>
    </row>
    <row r="80" spans="1:6" ht="24" customHeight="1">
      <c r="A80" s="16" t="s">
        <v>1000</v>
      </c>
      <c r="B80" s="16" t="s">
        <v>619</v>
      </c>
      <c r="C80" s="16" t="s">
        <v>458</v>
      </c>
      <c r="D80" s="16" t="s">
        <v>369</v>
      </c>
      <c r="E80" s="16" t="s">
        <v>1308</v>
      </c>
      <c r="F80" s="16" t="s">
        <v>1309</v>
      </c>
    </row>
    <row r="81" spans="1:6" ht="24" customHeight="1">
      <c r="A81" s="17" t="s">
        <v>1001</v>
      </c>
      <c r="B81" s="17" t="s">
        <v>638</v>
      </c>
      <c r="C81" s="17" t="s">
        <v>458</v>
      </c>
      <c r="D81" s="17" t="s">
        <v>369</v>
      </c>
      <c r="E81" s="17" t="s">
        <v>1310</v>
      </c>
      <c r="F81" s="17" t="s">
        <v>1285</v>
      </c>
    </row>
    <row r="82" spans="1:6" ht="24" customHeight="1">
      <c r="A82" s="16" t="s">
        <v>1002</v>
      </c>
      <c r="B82" s="16" t="s">
        <v>640</v>
      </c>
      <c r="C82" s="16" t="s">
        <v>458</v>
      </c>
      <c r="D82" s="16" t="s">
        <v>369</v>
      </c>
      <c r="E82" s="16" t="s">
        <v>1271</v>
      </c>
      <c r="F82" s="16" t="s">
        <v>1311</v>
      </c>
    </row>
    <row r="83" spans="1:6" ht="24" customHeight="1">
      <c r="A83" s="17" t="s">
        <v>1003</v>
      </c>
      <c r="B83" s="17" t="s">
        <v>1004</v>
      </c>
      <c r="C83" s="17" t="s">
        <v>458</v>
      </c>
      <c r="D83" s="17" t="s">
        <v>369</v>
      </c>
      <c r="E83" s="17" t="s">
        <v>1312</v>
      </c>
      <c r="F83" s="17" t="s">
        <v>1313</v>
      </c>
    </row>
    <row r="84" spans="1:6" ht="24" customHeight="1">
      <c r="A84" s="16" t="s">
        <v>1005</v>
      </c>
      <c r="B84" s="16" t="s">
        <v>1006</v>
      </c>
      <c r="C84" s="16" t="s">
        <v>454</v>
      </c>
      <c r="D84" s="16" t="s">
        <v>1007</v>
      </c>
      <c r="E84" s="16" t="s">
        <v>1008</v>
      </c>
      <c r="F84" s="16" t="s">
        <v>1233</v>
      </c>
    </row>
    <row r="85" spans="1:6" ht="24" customHeight="1">
      <c r="A85" s="20" t="s">
        <v>1245</v>
      </c>
      <c r="B85" s="20" t="s">
        <v>768</v>
      </c>
      <c r="C85" s="20" t="s">
        <v>1246</v>
      </c>
      <c r="D85" s="20" t="s">
        <v>1009</v>
      </c>
      <c r="E85" s="20" t="s">
        <v>1247</v>
      </c>
      <c r="F85" s="20" t="s">
        <v>1314</v>
      </c>
    </row>
    <row r="86" spans="1:6" ht="24" customHeight="1"/>
    <row r="87" spans="1:6" ht="24" customHeight="1">
      <c r="A87" s="138" t="s">
        <v>1704</v>
      </c>
      <c r="B87" s="139" t="s">
        <v>1705</v>
      </c>
      <c r="C87" s="139" t="s">
        <v>1705</v>
      </c>
      <c r="D87" s="139" t="s">
        <v>1705</v>
      </c>
      <c r="E87" s="139" t="s">
        <v>1705</v>
      </c>
      <c r="F87" s="139" t="s">
        <v>1705</v>
      </c>
    </row>
    <row r="88" spans="1:6" ht="24" customHeight="1">
      <c r="A88" s="15" t="s">
        <v>1315</v>
      </c>
      <c r="B88" s="15" t="s">
        <v>1181</v>
      </c>
      <c r="C88" s="15" t="s">
        <v>1316</v>
      </c>
      <c r="D88" s="15" t="s">
        <v>1317</v>
      </c>
      <c r="E88" s="15" t="s">
        <v>1318</v>
      </c>
      <c r="F88" s="15" t="s">
        <v>1319</v>
      </c>
    </row>
    <row r="89" spans="1:6" ht="38.1" customHeight="1">
      <c r="A89" s="16" t="s">
        <v>454</v>
      </c>
      <c r="B89" s="16" t="s">
        <v>1010</v>
      </c>
      <c r="C89" s="16" t="s">
        <v>1320</v>
      </c>
      <c r="D89" s="16" t="s">
        <v>1321</v>
      </c>
      <c r="E89" s="16" t="s">
        <v>1322</v>
      </c>
      <c r="F89" s="16" t="s">
        <v>1323</v>
      </c>
    </row>
    <row r="90" spans="1:6" ht="38.1" customHeight="1">
      <c r="A90" s="17" t="s">
        <v>1011</v>
      </c>
      <c r="B90" s="17" t="s">
        <v>1324</v>
      </c>
      <c r="C90" s="17" t="s">
        <v>1325</v>
      </c>
      <c r="D90" s="17" t="s">
        <v>1326</v>
      </c>
      <c r="E90" s="17" t="s">
        <v>1327</v>
      </c>
      <c r="F90" s="17" t="s">
        <v>1328</v>
      </c>
    </row>
    <row r="91" spans="1:6" ht="38.1" customHeight="1">
      <c r="A91" s="16" t="s">
        <v>1012</v>
      </c>
      <c r="B91" s="16" t="s">
        <v>1329</v>
      </c>
      <c r="C91" s="16" t="s">
        <v>1330</v>
      </c>
      <c r="D91" s="16" t="s">
        <v>1331</v>
      </c>
      <c r="E91" s="16" t="s">
        <v>1332</v>
      </c>
      <c r="F91" s="16" t="s">
        <v>1333</v>
      </c>
    </row>
    <row r="92" spans="1:6" ht="38.1" customHeight="1">
      <c r="A92" s="17" t="s">
        <v>458</v>
      </c>
      <c r="B92" s="17" t="s">
        <v>1013</v>
      </c>
      <c r="C92" s="17" t="s">
        <v>1334</v>
      </c>
      <c r="D92" s="17" t="s">
        <v>1335</v>
      </c>
      <c r="E92" s="17" t="s">
        <v>1336</v>
      </c>
      <c r="F92" s="17" t="s">
        <v>1337</v>
      </c>
    </row>
    <row r="93" spans="1:6" ht="38.1" customHeight="1">
      <c r="A93" s="140" t="s">
        <v>747</v>
      </c>
      <c r="B93" s="141" t="s">
        <v>1689</v>
      </c>
      <c r="C93" s="141" t="s">
        <v>1690</v>
      </c>
      <c r="D93" s="141" t="s">
        <v>1691</v>
      </c>
      <c r="E93" s="141" t="s">
        <v>1692</v>
      </c>
      <c r="F93" s="141" t="s">
        <v>1693</v>
      </c>
    </row>
    <row r="94" spans="1:6" ht="38.1" customHeight="1">
      <c r="A94" s="142" t="s">
        <v>849</v>
      </c>
      <c r="B94" s="142" t="s">
        <v>1694</v>
      </c>
      <c r="C94" s="142" t="s">
        <v>1695</v>
      </c>
      <c r="D94" s="142" t="s">
        <v>1696</v>
      </c>
      <c r="E94" s="142" t="s">
        <v>1697</v>
      </c>
      <c r="F94" s="142" t="s">
        <v>1698</v>
      </c>
    </row>
    <row r="95" spans="1:6" ht="38.1" customHeight="1">
      <c r="A95" s="142" t="s">
        <v>467</v>
      </c>
      <c r="B95" s="142" t="s">
        <v>1699</v>
      </c>
      <c r="C95" s="142" t="s">
        <v>1700</v>
      </c>
      <c r="D95" s="142" t="s">
        <v>1701</v>
      </c>
      <c r="E95" s="142" t="s">
        <v>1702</v>
      </c>
      <c r="F95" s="142" t="s">
        <v>1703</v>
      </c>
    </row>
    <row r="96" spans="1:6" ht="24" customHeight="1"/>
    <row r="97" spans="1:6" ht="24" customHeight="1">
      <c r="A97" s="112" t="s">
        <v>1338</v>
      </c>
      <c r="B97" s="112" t="s">
        <v>1338</v>
      </c>
      <c r="C97" s="112" t="s">
        <v>1338</v>
      </c>
      <c r="D97" s="112" t="s">
        <v>1338</v>
      </c>
      <c r="E97" s="112" t="s">
        <v>1338</v>
      </c>
      <c r="F97" s="112" t="s">
        <v>1338</v>
      </c>
    </row>
    <row r="98" spans="1:6" ht="24" customHeight="1">
      <c r="A98" s="15" t="s">
        <v>1339</v>
      </c>
      <c r="B98" s="15" t="s">
        <v>1340</v>
      </c>
      <c r="C98" s="15" t="s">
        <v>1341</v>
      </c>
      <c r="D98" s="15" t="s">
        <v>1282</v>
      </c>
      <c r="E98" s="15" t="s">
        <v>1284</v>
      </c>
      <c r="F98" s="15" t="s">
        <v>1342</v>
      </c>
    </row>
    <row r="99" spans="1:6" ht="38.1" customHeight="1">
      <c r="A99" s="16" t="s">
        <v>1343</v>
      </c>
      <c r="B99" s="16" t="s">
        <v>716</v>
      </c>
      <c r="C99" s="16" t="s">
        <v>1344</v>
      </c>
      <c r="D99" s="16" t="s">
        <v>1345</v>
      </c>
      <c r="E99" s="16" t="s">
        <v>452</v>
      </c>
      <c r="F99" s="16" t="s">
        <v>1346</v>
      </c>
    </row>
    <row r="100" spans="1:6" ht="38.1" customHeight="1">
      <c r="A100" s="17" t="s">
        <v>1347</v>
      </c>
      <c r="B100" s="17" t="s">
        <v>716</v>
      </c>
      <c r="C100" s="17" t="s">
        <v>1348</v>
      </c>
      <c r="D100" s="17" t="s">
        <v>1345</v>
      </c>
      <c r="E100" s="17" t="s">
        <v>1349</v>
      </c>
      <c r="F100" s="17" t="s">
        <v>1350</v>
      </c>
    </row>
    <row r="101" spans="1:6" ht="38.1" customHeight="1">
      <c r="A101" s="16" t="s">
        <v>1351</v>
      </c>
      <c r="B101" s="16" t="s">
        <v>1352</v>
      </c>
      <c r="C101" s="16" t="s">
        <v>1353</v>
      </c>
      <c r="D101" s="16" t="s">
        <v>1354</v>
      </c>
      <c r="E101" s="16" t="s">
        <v>452</v>
      </c>
      <c r="F101" s="16" t="s">
        <v>1355</v>
      </c>
    </row>
    <row r="102" spans="1:6" ht="38.1" customHeight="1">
      <c r="A102" s="17" t="s">
        <v>1356</v>
      </c>
      <c r="B102" s="17" t="s">
        <v>1352</v>
      </c>
      <c r="C102" s="17" t="s">
        <v>1204</v>
      </c>
      <c r="D102" s="17" t="s">
        <v>1357</v>
      </c>
      <c r="E102" s="17" t="s">
        <v>1349</v>
      </c>
      <c r="F102" s="17" t="s">
        <v>1358</v>
      </c>
    </row>
    <row r="103" spans="1:6" ht="38.1" customHeight="1">
      <c r="A103" s="16" t="s">
        <v>1359</v>
      </c>
      <c r="B103" s="16" t="s">
        <v>1360</v>
      </c>
      <c r="C103" s="16" t="s">
        <v>1204</v>
      </c>
      <c r="D103" s="16" t="s">
        <v>1357</v>
      </c>
      <c r="E103" s="16" t="s">
        <v>1014</v>
      </c>
      <c r="F103" s="16" t="s">
        <v>1361</v>
      </c>
    </row>
    <row r="104" spans="1:6" ht="38.1" customHeight="1">
      <c r="A104" s="17" t="s">
        <v>1362</v>
      </c>
      <c r="B104" s="17" t="s">
        <v>1360</v>
      </c>
      <c r="C104" s="17" t="s">
        <v>1363</v>
      </c>
      <c r="D104" s="17" t="s">
        <v>1357</v>
      </c>
      <c r="E104" s="17" t="s">
        <v>1364</v>
      </c>
      <c r="F104" s="17" t="s">
        <v>1365</v>
      </c>
    </row>
    <row r="105" spans="1:6" ht="38.1" customHeight="1">
      <c r="A105" s="16" t="s">
        <v>1366</v>
      </c>
      <c r="B105" s="16" t="s">
        <v>1367</v>
      </c>
      <c r="C105" s="16" t="s">
        <v>1368</v>
      </c>
      <c r="D105" s="16" t="s">
        <v>1345</v>
      </c>
      <c r="E105" s="16" t="s">
        <v>1369</v>
      </c>
      <c r="F105" s="16" t="s">
        <v>1370</v>
      </c>
    </row>
    <row r="106" spans="1:6" ht="24" customHeight="1"/>
    <row r="107" spans="1:6" ht="24" customHeight="1"/>
    <row r="108" spans="1:6" ht="24" customHeight="1">
      <c r="A108" s="112" t="s">
        <v>1371</v>
      </c>
      <c r="B108" s="112" t="s">
        <v>1371</v>
      </c>
      <c r="C108" s="112" t="s">
        <v>1371</v>
      </c>
      <c r="D108" s="112" t="s">
        <v>1371</v>
      </c>
      <c r="E108" s="112" t="s">
        <v>1371</v>
      </c>
      <c r="F108" s="112" t="s">
        <v>1371</v>
      </c>
    </row>
    <row r="109" spans="1:6" ht="24" customHeight="1">
      <c r="A109" s="15" t="s">
        <v>1372</v>
      </c>
      <c r="B109" s="15" t="s">
        <v>1180</v>
      </c>
      <c r="C109" s="15" t="s">
        <v>1373</v>
      </c>
      <c r="D109" s="15" t="s">
        <v>1374</v>
      </c>
      <c r="E109" s="15" t="s">
        <v>1375</v>
      </c>
      <c r="F109" s="15" t="s">
        <v>1376</v>
      </c>
    </row>
    <row r="110" spans="1:6" ht="45.95" customHeight="1">
      <c r="A110" s="16" t="s">
        <v>1377</v>
      </c>
      <c r="B110" s="16" t="s">
        <v>1378</v>
      </c>
      <c r="C110" s="16" t="s">
        <v>1379</v>
      </c>
      <c r="D110" s="16" t="s">
        <v>1380</v>
      </c>
      <c r="E110" s="16" t="s">
        <v>1381</v>
      </c>
      <c r="F110" s="16" t="s">
        <v>1382</v>
      </c>
    </row>
    <row r="111" spans="1:6" ht="45.95" customHeight="1">
      <c r="A111" s="17" t="s">
        <v>1383</v>
      </c>
      <c r="B111" s="17" t="s">
        <v>1384</v>
      </c>
      <c r="C111" s="17" t="s">
        <v>1385</v>
      </c>
      <c r="D111" s="17" t="s">
        <v>1386</v>
      </c>
      <c r="E111" s="17" t="s">
        <v>1387</v>
      </c>
      <c r="F111" s="17" t="s">
        <v>1388</v>
      </c>
    </row>
    <row r="112" spans="1:6" ht="45.95" customHeight="1">
      <c r="A112" s="16" t="s">
        <v>1389</v>
      </c>
      <c r="B112" s="16" t="s">
        <v>1015</v>
      </c>
      <c r="C112" s="16" t="s">
        <v>1390</v>
      </c>
      <c r="D112" s="16" t="s">
        <v>1391</v>
      </c>
      <c r="E112" s="16" t="s">
        <v>1392</v>
      </c>
      <c r="F112" s="16" t="s">
        <v>1393</v>
      </c>
    </row>
    <row r="113" spans="1:6" ht="45.95" customHeight="1">
      <c r="A113" s="17" t="s">
        <v>1394</v>
      </c>
      <c r="B113" s="17" t="s">
        <v>1016</v>
      </c>
      <c r="C113" s="17" t="s">
        <v>1395</v>
      </c>
      <c r="D113" s="17" t="s">
        <v>1396</v>
      </c>
      <c r="E113" s="17" t="s">
        <v>1397</v>
      </c>
      <c r="F113" s="17" t="s">
        <v>1398</v>
      </c>
    </row>
    <row r="114" spans="1:6" ht="45.95" customHeight="1">
      <c r="A114" s="16" t="s">
        <v>1017</v>
      </c>
      <c r="B114" s="16" t="s">
        <v>1399</v>
      </c>
      <c r="C114" s="16" t="s">
        <v>1400</v>
      </c>
      <c r="D114" s="16" t="s">
        <v>1401</v>
      </c>
      <c r="E114" s="16" t="s">
        <v>1402</v>
      </c>
      <c r="F114" s="16" t="s">
        <v>1403</v>
      </c>
    </row>
    <row r="115" spans="1:6" ht="45.95" customHeight="1">
      <c r="A115" s="17" t="s">
        <v>1404</v>
      </c>
      <c r="B115" s="17" t="s">
        <v>1405</v>
      </c>
      <c r="C115" s="17" t="s">
        <v>1406</v>
      </c>
      <c r="D115" s="17" t="s">
        <v>1407</v>
      </c>
      <c r="E115" s="17" t="s">
        <v>1408</v>
      </c>
      <c r="F115" s="17" t="s">
        <v>1409</v>
      </c>
    </row>
  </sheetData>
  <mergeCells count="17">
    <mergeCell ref="A97:F97"/>
    <mergeCell ref="A108:F108"/>
    <mergeCell ref="A53:F53"/>
    <mergeCell ref="A54:F54"/>
    <mergeCell ref="A69:F69"/>
    <mergeCell ref="A70:F70"/>
    <mergeCell ref="A87:F87"/>
    <mergeCell ref="A19:F19"/>
    <mergeCell ref="A32:F32"/>
    <mergeCell ref="A33:F33"/>
    <mergeCell ref="A42:F42"/>
    <mergeCell ref="A43:F43"/>
    <mergeCell ref="A1:F1"/>
    <mergeCell ref="A2:F2"/>
    <mergeCell ref="A4:F4"/>
    <mergeCell ref="A12:F12"/>
    <mergeCell ref="A18:F18"/>
  </mergeCells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9"/>
  <sheetViews>
    <sheetView showGridLines="0" topLeftCell="A43" workbookViewId="0">
      <selection activeCell="L15" sqref="L15"/>
    </sheetView>
  </sheetViews>
  <sheetFormatPr defaultRowHeight="14.25"/>
  <cols>
    <col min="1" max="1" width="15" style="3" customWidth="1"/>
    <col min="2" max="2" width="23" style="3" customWidth="1"/>
    <col min="3" max="3" width="20" style="3" customWidth="1"/>
    <col min="4" max="4" width="28" style="3" customWidth="1"/>
    <col min="5" max="5" width="39" style="3" customWidth="1"/>
    <col min="6" max="6" width="56" style="3" customWidth="1"/>
    <col min="7" max="16384" width="9" style="3"/>
  </cols>
  <sheetData>
    <row r="1" spans="1:6" ht="30" customHeight="1">
      <c r="A1" s="116" t="s">
        <v>1057</v>
      </c>
      <c r="B1" s="117" t="s">
        <v>1057</v>
      </c>
      <c r="C1" s="117" t="s">
        <v>1057</v>
      </c>
      <c r="D1" s="117" t="s">
        <v>1057</v>
      </c>
      <c r="E1" s="117" t="s">
        <v>1057</v>
      </c>
      <c r="F1" s="118" t="s">
        <v>1057</v>
      </c>
    </row>
    <row r="2" spans="1:6" ht="33.950000000000003" customHeight="1">
      <c r="A2" s="119" t="s">
        <v>1058</v>
      </c>
      <c r="B2" s="120" t="s">
        <v>1058</v>
      </c>
      <c r="C2" s="120" t="s">
        <v>1058</v>
      </c>
      <c r="D2" s="120" t="s">
        <v>1058</v>
      </c>
      <c r="E2" s="120" t="s">
        <v>1058</v>
      </c>
      <c r="F2" s="121" t="s">
        <v>1058</v>
      </c>
    </row>
    <row r="3" spans="1:6" ht="16.5">
      <c r="A3" s="10"/>
      <c r="B3" s="10"/>
      <c r="C3" s="10"/>
      <c r="D3" s="10"/>
      <c r="E3" s="10"/>
      <c r="F3" s="10"/>
    </row>
    <row r="4" spans="1:6" ht="24" customHeight="1">
      <c r="A4" s="114" t="s">
        <v>1059</v>
      </c>
      <c r="B4" s="114" t="s">
        <v>1059</v>
      </c>
      <c r="C4" s="114" t="s">
        <v>1059</v>
      </c>
      <c r="D4" s="114" t="s">
        <v>1059</v>
      </c>
      <c r="E4" s="114" t="s">
        <v>1059</v>
      </c>
      <c r="F4" s="114" t="s">
        <v>1059</v>
      </c>
    </row>
    <row r="5" spans="1:6" ht="30" customHeight="1">
      <c r="A5" s="11" t="s">
        <v>54</v>
      </c>
      <c r="B5" s="11" t="s">
        <v>55</v>
      </c>
      <c r="C5" s="11" t="s">
        <v>3</v>
      </c>
      <c r="D5" s="11" t="s">
        <v>1060</v>
      </c>
      <c r="E5" s="11" t="s">
        <v>1061</v>
      </c>
      <c r="F5" s="11" t="s">
        <v>1062</v>
      </c>
    </row>
    <row r="6" spans="1:6" ht="39.950000000000003" customHeight="1">
      <c r="A6" s="12">
        <v>0</v>
      </c>
      <c r="B6" s="12" t="s">
        <v>453</v>
      </c>
      <c r="C6" s="12">
        <v>1</v>
      </c>
      <c r="D6" s="12" t="s">
        <v>90</v>
      </c>
      <c r="E6" s="12" t="s">
        <v>1063</v>
      </c>
      <c r="F6" s="12" t="s">
        <v>1064</v>
      </c>
    </row>
    <row r="7" spans="1:6" ht="39.950000000000003" customHeight="1">
      <c r="A7" s="12">
        <v>1</v>
      </c>
      <c r="B7" s="12" t="s">
        <v>335</v>
      </c>
      <c r="C7" s="12">
        <v>1</v>
      </c>
      <c r="D7" s="12" t="s">
        <v>1065</v>
      </c>
      <c r="E7" s="12" t="s">
        <v>1066</v>
      </c>
      <c r="F7" s="12" t="s">
        <v>1067</v>
      </c>
    </row>
    <row r="8" spans="1:6" ht="39.950000000000003" customHeight="1">
      <c r="A8" s="12">
        <v>2</v>
      </c>
      <c r="B8" s="12" t="s">
        <v>338</v>
      </c>
      <c r="C8" s="12">
        <v>1</v>
      </c>
      <c r="D8" s="12" t="s">
        <v>339</v>
      </c>
      <c r="E8" s="12" t="s">
        <v>1068</v>
      </c>
      <c r="F8" s="12" t="s">
        <v>1069</v>
      </c>
    </row>
    <row r="9" spans="1:6" ht="39.950000000000003" customHeight="1">
      <c r="A9" s="12">
        <v>3</v>
      </c>
      <c r="B9" s="12" t="s">
        <v>341</v>
      </c>
      <c r="C9" s="12">
        <v>1</v>
      </c>
      <c r="D9" s="12" t="s">
        <v>1070</v>
      </c>
      <c r="E9" s="12" t="s">
        <v>1071</v>
      </c>
      <c r="F9" s="12" t="s">
        <v>1072</v>
      </c>
    </row>
    <row r="10" spans="1:6" ht="39.950000000000003" customHeight="1">
      <c r="A10" s="12">
        <v>4</v>
      </c>
      <c r="B10" s="12" t="s">
        <v>417</v>
      </c>
      <c r="C10" s="12">
        <v>1</v>
      </c>
      <c r="D10" s="12" t="s">
        <v>1073</v>
      </c>
      <c r="E10" s="12" t="s">
        <v>1074</v>
      </c>
      <c r="F10" s="12" t="s">
        <v>1075</v>
      </c>
    </row>
    <row r="11" spans="1:6" ht="39.950000000000003" customHeight="1">
      <c r="A11" s="12" t="s">
        <v>1029</v>
      </c>
      <c r="B11" s="12" t="s">
        <v>420</v>
      </c>
      <c r="C11" s="12" t="s">
        <v>308</v>
      </c>
      <c r="D11" s="12" t="s">
        <v>580</v>
      </c>
      <c r="E11" s="12" t="s">
        <v>1076</v>
      </c>
      <c r="F11" s="12" t="s">
        <v>1077</v>
      </c>
    </row>
    <row r="12" spans="1:6" ht="16.5">
      <c r="A12" s="10"/>
      <c r="B12" s="10"/>
      <c r="C12" s="10"/>
      <c r="D12" s="10"/>
      <c r="E12" s="10"/>
      <c r="F12" s="10"/>
    </row>
    <row r="13" spans="1:6" ht="24" customHeight="1">
      <c r="A13" s="114" t="s">
        <v>1078</v>
      </c>
      <c r="B13" s="114" t="s">
        <v>1078</v>
      </c>
      <c r="C13" s="114" t="s">
        <v>1078</v>
      </c>
      <c r="D13" s="114" t="s">
        <v>1078</v>
      </c>
      <c r="E13" s="114" t="s">
        <v>1078</v>
      </c>
      <c r="F13" s="114" t="s">
        <v>1078</v>
      </c>
    </row>
    <row r="14" spans="1:6" ht="30" customHeight="1">
      <c r="A14" s="11" t="s">
        <v>1079</v>
      </c>
      <c r="B14" s="11" t="s">
        <v>55</v>
      </c>
      <c r="C14" s="11" t="s">
        <v>1080</v>
      </c>
      <c r="D14" s="11" t="s">
        <v>1081</v>
      </c>
      <c r="E14" s="11" t="s">
        <v>1082</v>
      </c>
      <c r="F14" s="11" t="s">
        <v>963</v>
      </c>
    </row>
    <row r="15" spans="1:6" ht="42" customHeight="1">
      <c r="A15" s="12">
        <v>1</v>
      </c>
      <c r="B15" s="12" t="s">
        <v>129</v>
      </c>
      <c r="C15" s="12" t="s">
        <v>1083</v>
      </c>
      <c r="D15" s="12" t="s">
        <v>1084</v>
      </c>
      <c r="E15" s="12" t="s">
        <v>1085</v>
      </c>
      <c r="F15" s="12" t="s">
        <v>1086</v>
      </c>
    </row>
    <row r="16" spans="1:6" ht="42" customHeight="1">
      <c r="A16" s="12">
        <v>2</v>
      </c>
      <c r="B16" s="12" t="s">
        <v>532</v>
      </c>
      <c r="C16" s="12" t="s">
        <v>1087</v>
      </c>
      <c r="D16" s="12" t="s">
        <v>1088</v>
      </c>
      <c r="E16" s="12" t="s">
        <v>1089</v>
      </c>
      <c r="F16" s="12" t="s">
        <v>1090</v>
      </c>
    </row>
    <row r="17" spans="1:6" ht="42" customHeight="1">
      <c r="A17" s="12">
        <v>3</v>
      </c>
      <c r="B17" s="12" t="s">
        <v>543</v>
      </c>
      <c r="C17" s="12" t="s">
        <v>1091</v>
      </c>
      <c r="D17" s="12" t="s">
        <v>1092</v>
      </c>
      <c r="E17" s="12" t="s">
        <v>1089</v>
      </c>
      <c r="F17" s="12" t="s">
        <v>1093</v>
      </c>
    </row>
    <row r="18" spans="1:6" ht="42" customHeight="1">
      <c r="A18" s="12">
        <v>4</v>
      </c>
      <c r="B18" s="12" t="s">
        <v>545</v>
      </c>
      <c r="C18" s="12" t="s">
        <v>1094</v>
      </c>
      <c r="D18" s="12" t="s">
        <v>546</v>
      </c>
      <c r="E18" s="12" t="s">
        <v>1089</v>
      </c>
      <c r="F18" s="12" t="s">
        <v>1095</v>
      </c>
    </row>
    <row r="19" spans="1:6" ht="42" customHeight="1">
      <c r="A19" s="12">
        <v>5</v>
      </c>
      <c r="B19" s="12" t="s">
        <v>548</v>
      </c>
      <c r="C19" s="12" t="s">
        <v>1096</v>
      </c>
      <c r="D19" s="12" t="s">
        <v>1097</v>
      </c>
      <c r="E19" s="12" t="s">
        <v>1085</v>
      </c>
      <c r="F19" s="12" t="s">
        <v>1098</v>
      </c>
    </row>
    <row r="20" spans="1:6" ht="42" customHeight="1">
      <c r="A20" s="12">
        <v>6</v>
      </c>
      <c r="B20" s="12" t="s">
        <v>550</v>
      </c>
      <c r="C20" s="12" t="s">
        <v>1099</v>
      </c>
      <c r="D20" s="12" t="s">
        <v>1100</v>
      </c>
      <c r="E20" s="12" t="s">
        <v>1101</v>
      </c>
      <c r="F20" s="12" t="s">
        <v>1102</v>
      </c>
    </row>
    <row r="21" spans="1:6" ht="16.5">
      <c r="A21" s="10"/>
      <c r="B21" s="10"/>
      <c r="C21" s="10"/>
      <c r="D21" s="10"/>
      <c r="E21" s="10"/>
      <c r="F21" s="10"/>
    </row>
    <row r="22" spans="1:6" ht="24" customHeight="1">
      <c r="A22" s="114" t="s">
        <v>1103</v>
      </c>
      <c r="B22" s="114" t="s">
        <v>1103</v>
      </c>
      <c r="C22" s="114" t="s">
        <v>1103</v>
      </c>
      <c r="D22" s="114" t="s">
        <v>1103</v>
      </c>
      <c r="E22" s="114" t="s">
        <v>1103</v>
      </c>
      <c r="F22" s="114" t="s">
        <v>1103</v>
      </c>
    </row>
    <row r="23" spans="1:6" ht="38.1" customHeight="1">
      <c r="A23" s="13" t="s">
        <v>1104</v>
      </c>
      <c r="B23" s="113" t="s">
        <v>1105</v>
      </c>
      <c r="C23" s="113"/>
      <c r="D23" s="113"/>
      <c r="E23" s="113"/>
      <c r="F23" s="113"/>
    </row>
    <row r="24" spans="1:6" ht="38.1" customHeight="1">
      <c r="A24" s="13" t="s">
        <v>1106</v>
      </c>
      <c r="B24" s="113" t="s">
        <v>1107</v>
      </c>
      <c r="C24" s="113"/>
      <c r="D24" s="113"/>
      <c r="E24" s="113"/>
      <c r="F24" s="113"/>
    </row>
    <row r="25" spans="1:6" ht="38.1" customHeight="1">
      <c r="A25" s="13" t="s">
        <v>1108</v>
      </c>
      <c r="B25" s="113" t="s">
        <v>1109</v>
      </c>
      <c r="C25" s="113"/>
      <c r="D25" s="113"/>
      <c r="E25" s="113"/>
      <c r="F25" s="113"/>
    </row>
    <row r="26" spans="1:6" ht="38.1" customHeight="1">
      <c r="A26" s="13" t="s">
        <v>1110</v>
      </c>
      <c r="B26" s="113" t="s">
        <v>1111</v>
      </c>
      <c r="C26" s="113"/>
      <c r="D26" s="113"/>
      <c r="E26" s="113"/>
      <c r="F26" s="113"/>
    </row>
    <row r="27" spans="1:6" ht="38.1" customHeight="1">
      <c r="A27" s="13" t="s">
        <v>1112</v>
      </c>
      <c r="B27" s="113" t="s">
        <v>1113</v>
      </c>
      <c r="C27" s="113"/>
      <c r="D27" s="113"/>
      <c r="E27" s="113"/>
      <c r="F27" s="113"/>
    </row>
    <row r="28" spans="1:6" ht="38.1" customHeight="1">
      <c r="A28" s="13" t="s">
        <v>1114</v>
      </c>
      <c r="B28" s="113" t="s">
        <v>1115</v>
      </c>
      <c r="C28" s="113"/>
      <c r="D28" s="113"/>
      <c r="E28" s="113"/>
      <c r="F28" s="113"/>
    </row>
    <row r="29" spans="1:6" ht="38.1" customHeight="1">
      <c r="A29" s="13" t="s">
        <v>1116</v>
      </c>
      <c r="B29" s="113" t="s">
        <v>1117</v>
      </c>
      <c r="C29" s="113"/>
      <c r="D29" s="113"/>
      <c r="E29" s="113"/>
      <c r="F29" s="113"/>
    </row>
    <row r="30" spans="1:6" ht="16.5">
      <c r="A30" s="10"/>
      <c r="B30" s="10"/>
      <c r="C30" s="10"/>
      <c r="D30" s="10"/>
      <c r="E30" s="10"/>
      <c r="F30" s="10"/>
    </row>
    <row r="31" spans="1:6" ht="24" customHeight="1">
      <c r="A31" s="114" t="s">
        <v>1118</v>
      </c>
      <c r="B31" s="114" t="s">
        <v>1118</v>
      </c>
      <c r="C31" s="114" t="s">
        <v>1118</v>
      </c>
      <c r="D31" s="114" t="s">
        <v>1118</v>
      </c>
      <c r="E31" s="114" t="s">
        <v>1118</v>
      </c>
      <c r="F31" s="114" t="s">
        <v>1118</v>
      </c>
    </row>
    <row r="32" spans="1:6" ht="30" customHeight="1">
      <c r="A32" s="11" t="s">
        <v>1119</v>
      </c>
      <c r="B32" s="11" t="s">
        <v>1120</v>
      </c>
      <c r="C32" s="11" t="s">
        <v>1121</v>
      </c>
      <c r="D32" s="11" t="s">
        <v>1122</v>
      </c>
      <c r="E32" s="11" t="s">
        <v>1123</v>
      </c>
      <c r="F32" s="11" t="s">
        <v>1124</v>
      </c>
    </row>
    <row r="33" spans="1:6" ht="57.95" customHeight="1">
      <c r="A33" s="12" t="s">
        <v>1125</v>
      </c>
      <c r="B33" s="12" t="s">
        <v>1126</v>
      </c>
      <c r="C33" s="12" t="s">
        <v>1127</v>
      </c>
      <c r="D33" s="12" t="s">
        <v>1128</v>
      </c>
      <c r="E33" s="12" t="s">
        <v>1129</v>
      </c>
      <c r="F33" s="12" t="s">
        <v>1130</v>
      </c>
    </row>
    <row r="34" spans="1:6" ht="57.95" customHeight="1">
      <c r="A34" s="12" t="s">
        <v>1131</v>
      </c>
      <c r="B34" s="12" t="s">
        <v>1132</v>
      </c>
      <c r="C34" s="12" t="s">
        <v>1133</v>
      </c>
      <c r="D34" s="12" t="s">
        <v>1134</v>
      </c>
      <c r="E34" s="12" t="s">
        <v>1135</v>
      </c>
      <c r="F34" s="12" t="s">
        <v>1136</v>
      </c>
    </row>
    <row r="35" spans="1:6" ht="57.95" customHeight="1">
      <c r="A35" s="12" t="s">
        <v>1137</v>
      </c>
      <c r="B35" s="12" t="s">
        <v>1138</v>
      </c>
      <c r="C35" s="12" t="s">
        <v>1139</v>
      </c>
      <c r="D35" s="12" t="s">
        <v>1140</v>
      </c>
      <c r="E35" s="12" t="s">
        <v>1141</v>
      </c>
      <c r="F35" s="12" t="s">
        <v>1142</v>
      </c>
    </row>
    <row r="36" spans="1:6" ht="57.95" customHeight="1">
      <c r="A36" s="12" t="s">
        <v>1143</v>
      </c>
      <c r="B36" s="12" t="s">
        <v>1144</v>
      </c>
      <c r="C36" s="12" t="s">
        <v>1145</v>
      </c>
      <c r="D36" s="12" t="s">
        <v>1146</v>
      </c>
      <c r="E36" s="12" t="s">
        <v>1147</v>
      </c>
      <c r="F36" s="12" t="s">
        <v>1148</v>
      </c>
    </row>
    <row r="37" spans="1:6" ht="16.5">
      <c r="A37" s="10"/>
      <c r="B37" s="10"/>
      <c r="C37" s="10"/>
      <c r="D37" s="10"/>
      <c r="E37" s="10"/>
      <c r="F37" s="10"/>
    </row>
    <row r="38" spans="1:6" ht="24" customHeight="1">
      <c r="A38" s="114" t="s">
        <v>1149</v>
      </c>
      <c r="B38" s="114" t="s">
        <v>1149</v>
      </c>
      <c r="C38" s="114" t="s">
        <v>1149</v>
      </c>
      <c r="D38" s="114" t="s">
        <v>1149</v>
      </c>
      <c r="E38" s="114" t="s">
        <v>1149</v>
      </c>
      <c r="F38" s="114" t="s">
        <v>1149</v>
      </c>
    </row>
    <row r="39" spans="1:6" ht="44.1" customHeight="1">
      <c r="A39" s="13" t="s">
        <v>1150</v>
      </c>
      <c r="B39" s="113" t="s">
        <v>1151</v>
      </c>
      <c r="C39" s="113"/>
      <c r="D39" s="113"/>
      <c r="E39" s="113"/>
      <c r="F39" s="113"/>
    </row>
    <row r="40" spans="1:6" ht="44.1" customHeight="1">
      <c r="A40" s="13" t="s">
        <v>115</v>
      </c>
      <c r="B40" s="113" t="s">
        <v>1152</v>
      </c>
      <c r="C40" s="113"/>
      <c r="D40" s="113"/>
      <c r="E40" s="113"/>
      <c r="F40" s="113"/>
    </row>
    <row r="41" spans="1:6" ht="44.1" customHeight="1">
      <c r="A41" s="13" t="s">
        <v>1153</v>
      </c>
      <c r="B41" s="113" t="s">
        <v>1154</v>
      </c>
      <c r="C41" s="113"/>
      <c r="D41" s="113"/>
      <c r="E41" s="113"/>
      <c r="F41" s="113"/>
    </row>
    <row r="42" spans="1:6" ht="44.1" customHeight="1">
      <c r="A42" s="13" t="s">
        <v>1155</v>
      </c>
      <c r="B42" s="113" t="s">
        <v>1156</v>
      </c>
      <c r="C42" s="113"/>
      <c r="D42" s="113"/>
      <c r="E42" s="113"/>
      <c r="F42" s="113"/>
    </row>
    <row r="43" spans="1:6" ht="44.1" customHeight="1">
      <c r="A43" s="13" t="s">
        <v>1157</v>
      </c>
      <c r="B43" s="113" t="s">
        <v>1158</v>
      </c>
      <c r="C43" s="113"/>
      <c r="D43" s="113"/>
      <c r="E43" s="113"/>
      <c r="F43" s="113"/>
    </row>
    <row r="44" spans="1:6" ht="44.1" customHeight="1">
      <c r="A44" s="13" t="s">
        <v>1159</v>
      </c>
      <c r="B44" s="113" t="s">
        <v>1160</v>
      </c>
      <c r="C44" s="113"/>
      <c r="D44" s="113"/>
      <c r="E44" s="113"/>
      <c r="F44" s="113"/>
    </row>
    <row r="45" spans="1:6" ht="16.5">
      <c r="A45" s="10"/>
      <c r="B45" s="10"/>
      <c r="C45" s="10"/>
      <c r="D45" s="10"/>
      <c r="E45" s="10"/>
      <c r="F45" s="10"/>
    </row>
    <row r="46" spans="1:6" ht="24" customHeight="1">
      <c r="A46" s="114" t="s">
        <v>1161</v>
      </c>
      <c r="B46" s="114" t="s">
        <v>1161</v>
      </c>
      <c r="C46" s="114" t="s">
        <v>1161</v>
      </c>
      <c r="D46" s="114" t="s">
        <v>1161</v>
      </c>
      <c r="E46" s="114" t="s">
        <v>1161</v>
      </c>
      <c r="F46" s="114" t="s">
        <v>1161</v>
      </c>
    </row>
    <row r="47" spans="1:6" ht="33.950000000000003" customHeight="1">
      <c r="A47" s="11" t="s">
        <v>1162</v>
      </c>
      <c r="B47" s="115" t="s">
        <v>1163</v>
      </c>
      <c r="C47" s="115"/>
      <c r="D47" s="115"/>
      <c r="E47" s="115"/>
      <c r="F47" s="115"/>
    </row>
    <row r="48" spans="1:6" ht="33.950000000000003" customHeight="1">
      <c r="A48" s="13" t="s">
        <v>1164</v>
      </c>
      <c r="B48" s="113" t="s">
        <v>1165</v>
      </c>
      <c r="C48" s="113"/>
      <c r="D48" s="113"/>
      <c r="E48" s="113"/>
      <c r="F48" s="113"/>
    </row>
    <row r="49" spans="1:6" ht="33.950000000000003" customHeight="1">
      <c r="A49" s="13" t="s">
        <v>1166</v>
      </c>
      <c r="B49" s="113" t="s">
        <v>1167</v>
      </c>
      <c r="C49" s="113"/>
      <c r="D49" s="113"/>
      <c r="E49" s="113"/>
      <c r="F49" s="113"/>
    </row>
    <row r="50" spans="1:6" ht="74.099999999999994" customHeight="1">
      <c r="A50" s="13" t="s">
        <v>1168</v>
      </c>
      <c r="B50" s="113" t="s">
        <v>1169</v>
      </c>
      <c r="C50" s="113"/>
      <c r="D50" s="113"/>
      <c r="E50" s="113"/>
      <c r="F50" s="113"/>
    </row>
    <row r="51" spans="1:6" ht="44.1" customHeight="1">
      <c r="A51" s="13" t="s">
        <v>1170</v>
      </c>
      <c r="B51" s="113" t="s">
        <v>1171</v>
      </c>
      <c r="C51" s="113"/>
      <c r="D51" s="113"/>
      <c r="E51" s="113"/>
      <c r="F51" s="113"/>
    </row>
    <row r="52" spans="1:6" ht="16.5">
      <c r="A52" s="10"/>
      <c r="B52" s="10"/>
      <c r="C52" s="10"/>
      <c r="D52" s="10"/>
      <c r="E52" s="10"/>
      <c r="F52" s="10"/>
    </row>
    <row r="53" spans="1:6" ht="24" customHeight="1">
      <c r="A53" s="114" t="s">
        <v>1172</v>
      </c>
      <c r="B53" s="114" t="s">
        <v>1172</v>
      </c>
      <c r="C53" s="114" t="s">
        <v>1172</v>
      </c>
      <c r="D53" s="114" t="s">
        <v>1172</v>
      </c>
      <c r="E53" s="114" t="s">
        <v>1172</v>
      </c>
      <c r="F53" s="114" t="s">
        <v>1172</v>
      </c>
    </row>
    <row r="54" spans="1:6" ht="42" customHeight="1">
      <c r="A54" s="13" t="s">
        <v>454</v>
      </c>
      <c r="B54" s="113" t="s">
        <v>1173</v>
      </c>
      <c r="C54" s="113"/>
      <c r="D54" s="113"/>
      <c r="E54" s="113"/>
      <c r="F54" s="113"/>
    </row>
    <row r="55" spans="1:6" ht="42" customHeight="1">
      <c r="A55" s="13" t="s">
        <v>1011</v>
      </c>
      <c r="B55" s="113" t="s">
        <v>1174</v>
      </c>
      <c r="C55" s="113"/>
      <c r="D55" s="113"/>
      <c r="E55" s="113"/>
      <c r="F55" s="113"/>
    </row>
    <row r="56" spans="1:6" ht="42" customHeight="1">
      <c r="A56" s="13" t="s">
        <v>1012</v>
      </c>
      <c r="B56" s="113" t="s">
        <v>1175</v>
      </c>
      <c r="C56" s="113"/>
      <c r="D56" s="113"/>
      <c r="E56" s="113"/>
      <c r="F56" s="113"/>
    </row>
    <row r="57" spans="1:6" ht="42" customHeight="1">
      <c r="A57" s="13" t="s">
        <v>458</v>
      </c>
      <c r="B57" s="113" t="s">
        <v>1176</v>
      </c>
      <c r="C57" s="113"/>
      <c r="D57" s="113"/>
      <c r="E57" s="113"/>
      <c r="F57" s="113"/>
    </row>
    <row r="58" spans="1:6" ht="42" customHeight="1">
      <c r="A58" s="13" t="s">
        <v>747</v>
      </c>
      <c r="B58" s="113" t="s">
        <v>1177</v>
      </c>
      <c r="C58" s="113"/>
      <c r="D58" s="113"/>
      <c r="E58" s="113"/>
      <c r="F58" s="113"/>
    </row>
    <row r="59" spans="1:6" ht="42" customHeight="1">
      <c r="A59" s="13" t="s">
        <v>849</v>
      </c>
      <c r="B59" s="113" t="s">
        <v>1178</v>
      </c>
      <c r="C59" s="113"/>
      <c r="D59" s="113"/>
      <c r="E59" s="113"/>
      <c r="F59" s="113"/>
    </row>
  </sheetData>
  <mergeCells count="33">
    <mergeCell ref="A1:F1"/>
    <mergeCell ref="A2:F2"/>
    <mergeCell ref="A4:F4"/>
    <mergeCell ref="A13:F13"/>
    <mergeCell ref="A22:F22"/>
    <mergeCell ref="B23:F23"/>
    <mergeCell ref="B24:F24"/>
    <mergeCell ref="B25:F25"/>
    <mergeCell ref="B26:F26"/>
    <mergeCell ref="B27:F27"/>
    <mergeCell ref="B28:F28"/>
    <mergeCell ref="B29:F29"/>
    <mergeCell ref="A31:F31"/>
    <mergeCell ref="A38:F38"/>
    <mergeCell ref="B39:F39"/>
    <mergeCell ref="B40:F40"/>
    <mergeCell ref="B41:F41"/>
    <mergeCell ref="B42:F42"/>
    <mergeCell ref="B43:F43"/>
    <mergeCell ref="B44:F44"/>
    <mergeCell ref="A46:F46"/>
    <mergeCell ref="B47:F47"/>
    <mergeCell ref="B48:F48"/>
    <mergeCell ref="B49:F49"/>
    <mergeCell ref="B50:F50"/>
    <mergeCell ref="B57:F57"/>
    <mergeCell ref="B58:F58"/>
    <mergeCell ref="B59:F59"/>
    <mergeCell ref="B51:F51"/>
    <mergeCell ref="A53:F53"/>
    <mergeCell ref="B54:F54"/>
    <mergeCell ref="B55:F55"/>
    <mergeCell ref="B56:F56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说明</vt:lpstr>
      <vt:lpstr>命令总览</vt:lpstr>
      <vt:lpstr>App命令-简单</vt:lpstr>
      <vt:lpstr>App命令-复杂</vt:lpstr>
      <vt:lpstr>子结构与记录</vt:lpstr>
      <vt:lpstr>设备事件-输入</vt:lpstr>
      <vt:lpstr>设备事件-动作与应答</vt:lpstr>
      <vt:lpstr>枚举与状态码</vt:lpstr>
      <vt:lpstr>OfflineSync-0x25</vt:lpstr>
      <vt:lpstr>专注重连-1.2</vt:lpstr>
      <vt:lpstr>Schedule-1.3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Zhuang Wang</dc:creator>
  <cp:lastModifiedBy>Zhuang Wang</cp:lastModifiedBy>
  <dcterms:created xsi:type="dcterms:W3CDTF">2026-08-19T04:37:39Z</dcterms:created>
  <dcterms:modified xsi:type="dcterms:W3CDTF">2026-08-19T04:57:15Z</dcterms:modified>
</cp:coreProperties>
</file>