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9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命令总览" sheetId="2" state="visible" r:id="rId2"/>
    <sheet xmlns:r="http://schemas.openxmlformats.org/officeDocument/2006/relationships" name="App命令-简单" sheetId="3" state="visible" r:id="rId3"/>
    <sheet xmlns:r="http://schemas.openxmlformats.org/officeDocument/2006/relationships" name="App命令-复杂" sheetId="4" state="visible" r:id="rId4"/>
    <sheet xmlns:r="http://schemas.openxmlformats.org/officeDocument/2006/relationships" name="子结构与记录" sheetId="5" state="visible" r:id="rId5"/>
    <sheet xmlns:r="http://schemas.openxmlformats.org/officeDocument/2006/relationships" name="设备事件-输入" sheetId="6" state="visible" r:id="rId6"/>
    <sheet xmlns:r="http://schemas.openxmlformats.org/officeDocument/2006/relationships" name="设备事件-动作与应答" sheetId="7" state="visible" r:id="rId7"/>
    <sheet xmlns:r="http://schemas.openxmlformats.org/officeDocument/2006/relationships" name="枚举与状态码" sheetId="8" state="visible" r:id="rId8"/>
    <sheet xmlns:r="http://schemas.openxmlformats.org/officeDocument/2006/relationships" name="OfflineSync-0x25" sheetId="9" state="visible" r:id="rId9"/>
    <sheet xmlns:r="http://schemas.openxmlformats.org/officeDocument/2006/relationships" name="专注重连-1.2" sheetId="10" state="visible" r:id="rId10"/>
    <sheet xmlns:r="http://schemas.openxmlformats.org/officeDocument/2006/relationships" name="Schedule-1.3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Carlito"/>
      <sz val="11"/>
    </font>
    <font>
      <name val="Carlito"/>
      <b val="1"/>
      <sz val="10"/>
    </font>
    <font>
      <name val="Carlito"/>
      <sz val="11"/>
    </font>
    <font>
      <name val="宋体"/>
      <charset val="134"/>
      <family val="3"/>
      <sz val="9"/>
    </font>
    <font>
      <name val="微软雅黑"/>
      <charset val="134"/>
      <family val="2"/>
      <sz val="11"/>
    </font>
    <font>
      <name val="Carlito"/>
      <b val="1"/>
      <sz val="11"/>
    </font>
    <font>
      <name val="Carlito"/>
      <i val="1"/>
      <sz val="9"/>
    </font>
    <font>
      <name val="Carlito"/>
      <i val="1"/>
      <sz val="11"/>
    </font>
    <font>
      <name val="Microsoft YaHei"/>
      <charset val="134"/>
      <family val="2"/>
      <b val="1"/>
      <sz val="16"/>
    </font>
    <font>
      <name val="Microsoft YaHei"/>
      <charset val="134"/>
      <family val="2"/>
      <i val="1"/>
      <sz val="10"/>
    </font>
    <font>
      <name val="Microsoft YaHei"/>
      <charset val="134"/>
      <family val="2"/>
      <sz val="10"/>
    </font>
    <font>
      <name val="Microsoft YaHei"/>
      <charset val="134"/>
      <family val="2"/>
      <b val="1"/>
      <sz val="11"/>
    </font>
    <font>
      <name val="Microsoft YaHei"/>
      <charset val="134"/>
      <family val="2"/>
      <b val="1"/>
      <sz val="10"/>
    </font>
    <font>
      <name val="Carlito"/>
      <family val="2"/>
      <b val="1"/>
      <sz val="11"/>
    </font>
    <font>
      <name val="Carlito"/>
      <family val="2"/>
      <sz val="11"/>
    </font>
    <font>
      <name val="Carlito"/>
      <family val="2"/>
      <i val="1"/>
      <sz val="11"/>
    </font>
    <font>
      <name val="Arial"/>
      <family val="2"/>
      <sz val="11"/>
    </font>
    <font>
      <name val="微软雅黑"/>
      <family val="2"/>
      <sz val="11"/>
    </font>
    <font>
      <name val="Carlito"/>
      <b val="1"/>
      <sz val="15"/>
    </font>
    <font>
      <name val="Carlito"/>
      <family val="2"/>
      <sz val="10"/>
    </font>
    <font>
      <name val="Carlito"/>
      <sz val="10"/>
    </font>
    <font>
      <name val="Carlito"/>
      <family val="2"/>
      <b val="1"/>
      <sz val="10"/>
    </font>
    <font>
      <name val="Carlito"/>
      <family val="2"/>
      <i val="1"/>
      <sz val="9"/>
    </font>
    <font>
      <name val="Carlito"/>
      <family val="2"/>
      <b val="1"/>
      <sz val="15"/>
    </font>
    <font>
      <name val="Carlito"/>
      <family val="2"/>
      <sz val="9"/>
    </font>
    <font>
      <name val="Carlito"/>
      <sz val="9"/>
    </font>
    <font>
      <name val="微软雅黑"/>
      <charset val="134"/>
      <family val="2"/>
      <b val="1"/>
      <sz val="15"/>
    </font>
    <font>
      <name val="微软雅黑"/>
      <family val="2"/>
      <sz val="9"/>
    </font>
    <font>
      <name val="Arial"/>
      <family val="2"/>
      <sz val="9"/>
    </font>
    <font>
      <name val="微软雅黑"/>
      <family val="2"/>
      <b val="1"/>
      <sz val="11"/>
    </font>
    <font>
      <name val="Arial"/>
      <family val="2"/>
      <b val="1"/>
      <sz val="11"/>
    </font>
    <font>
      <name val="微软雅黑"/>
      <family val="2"/>
      <i val="1"/>
      <sz val="9"/>
    </font>
    <font>
      <name val="微软雅黑"/>
      <family val="2"/>
      <b val="1"/>
      <sz val="15"/>
    </font>
    <font>
      <name val="Arial"/>
      <family val="2"/>
      <b val="1"/>
      <sz val="15"/>
    </font>
    <font>
      <name val="Carlito"/>
      <i val="1"/>
      <color rgb="FFFF0000"/>
      <sz val="11"/>
    </font>
    <font>
      <name val="Carlito"/>
      <family val="2"/>
      <i val="1"/>
      <color rgb="FFFF0000"/>
      <sz val="11"/>
    </font>
    <font>
      <name val="Carlito"/>
      <family val="2"/>
      <color rgb="FFFF0000"/>
      <sz val="11"/>
    </font>
    <font>
      <name val="Carlito"/>
      <color rgb="FFFF0000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i val="1"/>
      <color rgb="FFFF0000"/>
      <sz val="11"/>
    </font>
    <font>
      <name val="Carlito"/>
      <b val="1"/>
      <color rgb="FFFF0000"/>
      <sz val="11"/>
    </font>
    <font>
      <name val="Carlito"/>
      <family val="2"/>
      <b val="1"/>
      <color rgb="FFFF0000"/>
      <sz val="11"/>
    </font>
  </fonts>
  <fills count="27">
    <fill>
      <patternFill/>
    </fill>
    <fill>
      <patternFill patternType="gray125"/>
    </fill>
    <fill>
      <patternFill patternType="solid">
        <fgColor rgb="FF134E4A"/>
      </patternFill>
    </fill>
    <fill>
      <patternFill patternType="solid">
        <fgColor rgb="FFF0FDFA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55E75"/>
      </patternFill>
    </fill>
    <fill>
      <patternFill patternType="solid">
        <fgColor rgb="FFFEF3C7"/>
      </patternFill>
    </fill>
    <fill>
      <patternFill patternType="solid">
        <fgColor rgb="FFF0FDFA"/>
      </patternFill>
    </fill>
    <fill>
      <patternFill patternType="solid">
        <fgColor rgb="FF155E75"/>
      </patternFill>
    </fill>
    <fill>
      <patternFill patternType="solid">
        <fgColor rgb="FFCCFBF1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FFFFFF"/>
      </patternFill>
    </fill>
    <fill>
      <patternFill patternType="solid">
        <fgColor rgb="FFF0FDFA"/>
      </patternFill>
    </fill>
    <fill>
      <patternFill patternType="solid">
        <fgColor rgb="FF134E4A"/>
      </patternFill>
    </fill>
    <fill>
      <patternFill patternType="solid">
        <fgColor rgb="FF155E75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FF2C2"/>
      </patternFill>
    </fill>
    <fill>
      <patternFill patternType="solid">
        <fgColor rgb="FFEAF7F5"/>
      </patternFill>
    </fill>
    <fill>
      <patternFill patternType="solid">
        <fgColor rgb="FFD9EDEE"/>
      </patternFill>
    </fill>
    <fill>
      <patternFill patternType="solid">
        <fgColor rgb="FFEDF7F7"/>
      </patternFill>
    </fill>
    <fill>
      <patternFill patternType="solid">
        <fgColor rgb="FFBFDDE0"/>
      </patternFill>
    </fill>
    <fill>
      <patternFill patternType="solid">
        <fgColor rgb="FFD6ECEE"/>
      </patternFill>
    </fill>
    <fill>
      <patternFill patternType="solid">
        <fgColor rgb="FFF0F8F8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 style="medium">
        <color rgb="FF0F6B78"/>
      </left>
      <right/>
      <top style="medium">
        <color rgb="FF0F6B78"/>
      </top>
      <bottom style="medium">
        <color rgb="FF0F6B78"/>
      </bottom>
      <diagonal/>
    </border>
    <border>
      <left/>
      <right/>
      <top style="medium">
        <color rgb="FF0F6B78"/>
      </top>
      <bottom style="medium">
        <color rgb="FF0F6B78"/>
      </bottom>
      <diagonal/>
    </border>
    <border>
      <left/>
      <right style="medium">
        <color rgb="FF0F6B78"/>
      </right>
      <top style="medium">
        <color rgb="FF0F6B78"/>
      </top>
      <bottom style="medium">
        <color rgb="FF0F6B78"/>
      </bottom>
      <diagonal/>
    </border>
    <border>
      <left style="thin">
        <color rgb="FF7FAEB3"/>
      </left>
      <right/>
      <top style="thin">
        <color rgb="FF7FAEB3"/>
      </top>
      <bottom style="thin">
        <color rgb="FF7FAEB3"/>
      </bottom>
      <diagonal/>
    </border>
    <border>
      <left/>
      <right/>
      <top style="thin">
        <color rgb="FF7FAEB3"/>
      </top>
      <bottom style="thin">
        <color rgb="FF7FAEB3"/>
      </bottom>
      <diagonal/>
    </border>
    <border>
      <left/>
      <right style="thin">
        <color rgb="FF7FAEB3"/>
      </right>
      <top style="thin">
        <color rgb="FF7FAEB3"/>
      </top>
      <bottom style="thin">
        <color rgb="FF7FAEB3"/>
      </bottom>
      <diagonal/>
    </border>
    <border>
      <left style="medium">
        <color rgb="FF0F6B78"/>
      </left>
      <right style="medium">
        <color rgb="FF0F6B78"/>
      </right>
      <top style="medium">
        <color rgb="FF0F6B78"/>
      </top>
      <bottom style="medium">
        <color rgb="FF0F6B78"/>
      </bottom>
      <diagonal/>
    </border>
    <border>
      <left style="thin">
        <color rgb="FF5E9298"/>
      </left>
      <right style="thin">
        <color rgb="FF5E9298"/>
      </right>
      <top style="thin">
        <color rgb="FF5E9298"/>
      </top>
      <bottom style="thin">
        <color rgb="FF5E9298"/>
      </bottom>
      <diagonal/>
    </border>
    <border>
      <left style="thin">
        <color rgb="FFA7C7CA"/>
      </left>
      <right style="thin">
        <color rgb="FFA7C7CA"/>
      </right>
      <top style="thin">
        <color rgb="FFA7C7CA"/>
      </top>
      <bottom style="thin">
        <color rgb="FFA7C7C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F4F4F"/>
      </left>
      <right style="thin">
        <color rgb="FF4F4F4F"/>
      </right>
      <top style="thin">
        <color rgb="FF4F4F4F"/>
      </top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4F4F4F"/>
      </top>
      <bottom/>
      <diagonal/>
    </border>
    <border>
      <left/>
      <right style="thin">
        <color rgb="FF4F4F4F"/>
      </right>
      <top style="thin">
        <color rgb="FF4F4F4F"/>
      </top>
      <bottom/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/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/>
      <bottom/>
      <diagonal/>
    </border>
    <border>
      <left/>
      <right/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/>
      <right/>
      <top style="medium">
        <color rgb="FF0F6B78"/>
      </top>
      <bottom/>
      <diagonal/>
    </border>
    <border>
      <left/>
      <right style="medium">
        <color rgb="FF0F6B78"/>
      </right>
      <top style="medium">
        <color rgb="FF0F6B78"/>
      </top>
      <bottom/>
      <diagonal/>
    </border>
    <border>
      <left style="thin">
        <color rgb="FF7FAEB3"/>
      </left>
      <right style="thin">
        <color rgb="FF7FAEB3"/>
      </right>
      <top style="thin">
        <color rgb="FF7FAEB3"/>
      </top>
      <bottom style="thin">
        <color rgb="FF7FAEB3"/>
      </bottom>
      <diagonal/>
    </border>
    <border>
      <left/>
      <right/>
      <top style="thin">
        <color rgb="FF7FAEB3"/>
      </top>
      <bottom/>
      <diagonal/>
    </border>
    <border>
      <left/>
      <right style="thin">
        <color rgb="FF7FAEB3"/>
      </right>
      <top style="thin">
        <color rgb="FF7FAEB3"/>
      </top>
      <bottom/>
      <diagonal/>
    </border>
    <border>
      <left/>
      <right/>
      <top style="thin">
        <color rgb="FFA7C7CA"/>
      </top>
      <bottom/>
      <diagonal/>
    </border>
    <border>
      <left/>
      <right style="thin">
        <color rgb="FFA7C7CA"/>
      </right>
      <top style="thin">
        <color rgb="FFA7C7CA"/>
      </top>
      <bottom/>
      <diagonal/>
    </border>
    <border>
      <left/>
      <right/>
      <top style="thin">
        <color rgb="FFA7C7CA"/>
      </top>
      <bottom style="thin">
        <color rgb="FFA7C7CA"/>
      </bottom>
      <diagonal/>
    </border>
    <border>
      <left/>
      <right style="thin">
        <color rgb="FFA7C7CA"/>
      </right>
      <top style="thin">
        <color rgb="FFA7C7CA"/>
      </top>
      <bottom style="thin">
        <color rgb="FFA7C7CA"/>
      </bottom>
      <diagonal/>
    </border>
    <border>
      <left/>
      <right/>
      <top style="thin">
        <color rgb="FF5E9298"/>
      </top>
      <bottom/>
      <diagonal/>
    </border>
    <border>
      <left/>
      <right style="thin">
        <color rgb="FF5E9298"/>
      </right>
      <top style="thin">
        <color rgb="FF5E9298"/>
      </top>
      <bottom/>
      <diagonal/>
    </border>
    <border>
      <left/>
      <right/>
      <top style="thin">
        <color rgb="FF5E9298"/>
      </top>
      <bottom style="thin">
        <color rgb="FF5E9298"/>
      </bottom>
      <diagonal/>
    </border>
    <border>
      <left/>
      <right style="thin">
        <color rgb="FF5E9298"/>
      </right>
      <top style="thin">
        <color rgb="FF5E9298"/>
      </top>
      <bottom style="thin">
        <color rgb="FF5E9298"/>
      </bottom>
      <diagonal/>
    </border>
  </borders>
  <cellStyleXfs count="2">
    <xf numFmtId="0" fontId="2" fillId="0" borderId="3"/>
    <xf numFmtId="0" fontId="2" fillId="0" borderId="3"/>
  </cellStyleXfs>
  <cellXfs count="169">
    <xf numFmtId="0" fontId="0" fillId="0" borderId="0" pivotButton="0" quotePrefix="0" xfId="0"/>
    <xf numFmtId="49" fontId="0" fillId="8" borderId="2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10" borderId="2" applyAlignment="1" pivotButton="0" quotePrefix="0" xfId="0">
      <alignment horizontal="center" vertical="center" wrapText="1"/>
    </xf>
    <xf numFmtId="49" fontId="0" fillId="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49" fontId="0" fillId="8" borderId="7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2" fillId="25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vertical="center" wrapText="1"/>
    </xf>
    <xf numFmtId="0" fontId="12" fillId="26" borderId="17" applyAlignment="1" pivotButton="0" quotePrefix="0" xfId="0">
      <alignment vertical="center" wrapText="1"/>
    </xf>
    <xf numFmtId="0" fontId="14" fillId="0" borderId="0" pivotButton="0" quotePrefix="0" xfId="0"/>
    <xf numFmtId="0" fontId="14" fillId="13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49" fontId="14" fillId="14" borderId="2" applyAlignment="1" pivotButton="0" quotePrefix="0" xfId="0">
      <alignment horizontal="center" vertical="center" wrapText="1"/>
    </xf>
    <xf numFmtId="49" fontId="14" fillId="15" borderId="2" applyAlignment="1" pivotButton="0" quotePrefix="0" xfId="0">
      <alignment horizontal="center" vertical="center" wrapText="1"/>
    </xf>
    <xf numFmtId="0" fontId="14" fillId="18" borderId="2" applyAlignment="1" pivotButton="0" quotePrefix="0" xfId="0">
      <alignment horizontal="center" vertical="center" wrapText="1"/>
    </xf>
    <xf numFmtId="49" fontId="0" fillId="3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14" fillId="0" borderId="0" applyAlignment="1" pivotButton="0" quotePrefix="0" xfId="0">
      <alignment horizontal="center" vertical="center"/>
    </xf>
    <xf numFmtId="0" fontId="21" fillId="5" borderId="1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0" fontId="14" fillId="3" borderId="1" applyAlignment="1" pivotButton="0" quotePrefix="0" xfId="1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2" fillId="19" borderId="8" applyAlignment="1" pivotButton="0" quotePrefix="0" xfId="0">
      <alignment horizontal="center" vertical="center" wrapText="1"/>
    </xf>
    <xf numFmtId="0" fontId="2" fillId="21" borderId="8" applyAlignment="1" pivotButton="0" quotePrefix="0" xfId="0">
      <alignment horizontal="center" vertical="center" wrapText="1"/>
    </xf>
    <xf numFmtId="0" fontId="1" fillId="19" borderId="8" applyAlignment="1" pivotButton="0" quotePrefix="0" xfId="0">
      <alignment horizontal="center" vertical="center" wrapText="1"/>
    </xf>
    <xf numFmtId="0" fontId="25" fillId="19" borderId="8" applyAlignment="1" pivotButton="0" quotePrefix="0" xfId="0">
      <alignment horizontal="center" vertical="center" wrapText="1"/>
    </xf>
    <xf numFmtId="0" fontId="2" fillId="20" borderId="1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20" borderId="8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49" fontId="0" fillId="0" borderId="5" pivotButton="0" quotePrefix="0" xfId="0"/>
    <xf numFmtId="0" fontId="0" fillId="0" borderId="5" pivotButton="0" quotePrefix="0" xfId="0"/>
    <xf numFmtId="49" fontId="34" fillId="0" borderId="1" applyAlignment="1" pivotButton="0" quotePrefix="0" xfId="0">
      <alignment horizontal="center" vertical="center" wrapText="1"/>
    </xf>
    <xf numFmtId="49" fontId="35" fillId="0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49" fontId="36" fillId="8" borderId="7" applyAlignment="1" pivotButton="0" quotePrefix="0" xfId="0">
      <alignment horizontal="center" vertical="center" wrapText="1"/>
    </xf>
    <xf numFmtId="49" fontId="37" fillId="0" borderId="2" applyAlignment="1" pivotButton="0" quotePrefix="0" xfId="0">
      <alignment horizontal="center" vertical="center" wrapText="1"/>
    </xf>
    <xf numFmtId="49" fontId="3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18" fillId="2" borderId="1" applyAlignment="1" pivotButton="0" quotePrefix="0" xfId="1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6" borderId="18" applyAlignment="1" pivotButton="0" quotePrefix="0" xfId="1">
      <alignment horizontal="center" vertical="center"/>
    </xf>
    <xf numFmtId="0" fontId="25" fillId="0" borderId="1" applyAlignment="1" pivotButton="0" quotePrefix="0" xfId="1">
      <alignment horizontal="center" vertical="center" wrapText="1"/>
    </xf>
    <xf numFmtId="0" fontId="1" fillId="7" borderId="1" applyAlignment="1" pivotButton="0" quotePrefix="0" xfId="1">
      <alignment horizontal="center" vertical="center"/>
    </xf>
    <xf numFmtId="0" fontId="25" fillId="7" borderId="1" applyAlignment="1" pivotButton="0" quotePrefix="0" xfId="1">
      <alignment horizontal="center" vertical="center" wrapText="1"/>
    </xf>
    <xf numFmtId="0" fontId="1" fillId="20" borderId="8" applyAlignment="1" pivotButton="0" quotePrefix="0" xfId="0">
      <alignment horizontal="center" vertical="center" wrapText="1"/>
    </xf>
    <xf numFmtId="0" fontId="25" fillId="20" borderId="8" applyAlignment="1" pivotButton="0" quotePrefix="0" xfId="0">
      <alignment horizontal="center" vertical="center" wrapText="1"/>
    </xf>
    <xf numFmtId="0" fontId="5" fillId="20" borderId="19" applyAlignment="1" pivotButton="0" quotePrefix="0" xfId="0">
      <alignment horizontal="center" vertical="center" wrapText="1"/>
    </xf>
    <xf numFmtId="0" fontId="2" fillId="20" borderId="19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1">
      <alignment horizontal="center" vertical="center"/>
    </xf>
    <xf numFmtId="0" fontId="25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1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6" fillId="2" borderId="1" applyAlignment="1" pivotButton="0" quotePrefix="0" xfId="1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7" borderId="6" applyAlignment="1" pivotButton="0" quotePrefix="0" xfId="0">
      <alignment horizontal="center" vertical="center"/>
    </xf>
    <xf numFmtId="0" fontId="25" fillId="7" borderId="4" applyAlignment="1" pivotButton="0" quotePrefix="0" xfId="0">
      <alignment horizontal="center" vertical="center" wrapText="1"/>
    </xf>
    <xf numFmtId="0" fontId="25" fillId="7" borderId="5" applyAlignment="1" pivotButton="0" quotePrefix="0" xfId="0">
      <alignment horizontal="center" vertical="center" wrapText="1"/>
    </xf>
    <xf numFmtId="0" fontId="25" fillId="7" borderId="6" applyAlignment="1" pivotButton="0" quotePrefix="0" xfId="0">
      <alignment horizontal="center" vertical="center" wrapText="1"/>
    </xf>
    <xf numFmtId="0" fontId="19" fillId="3" borderId="1" applyAlignment="1" pivotButton="0" quotePrefix="0" xfId="1">
      <alignment horizontal="center" vertical="center"/>
    </xf>
    <xf numFmtId="0" fontId="13" fillId="6" borderId="1" applyAlignment="1" pivotButton="0" quotePrefix="0" xfId="1">
      <alignment horizontal="center" vertical="center"/>
    </xf>
    <xf numFmtId="0" fontId="24" fillId="0" borderId="1" applyAlignment="1" pivotButton="0" quotePrefix="0" xfId="1">
      <alignment horizontal="center" vertical="center" wrapText="1"/>
    </xf>
    <xf numFmtId="0" fontId="21" fillId="7" borderId="1" applyAlignment="1" pivotButton="0" quotePrefix="0" xfId="1">
      <alignment horizontal="center" vertical="center"/>
    </xf>
    <xf numFmtId="0" fontId="24" fillId="7" borderId="1" applyAlignment="1" pivotButton="0" quotePrefix="0" xfId="1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 wrapText="1"/>
    </xf>
    <xf numFmtId="0" fontId="22" fillId="0" borderId="1" applyAlignment="1" pivotButton="0" quotePrefix="0" xfId="1">
      <alignment horizontal="center" vertical="center" wrapText="1"/>
    </xf>
    <xf numFmtId="0" fontId="22" fillId="0" borderId="0" applyAlignment="1" pivotButton="0" quotePrefix="0" xfId="1">
      <alignment horizontal="center" vertical="center" wrapText="1"/>
    </xf>
    <xf numFmtId="0" fontId="13" fillId="4" borderId="1" applyAlignment="1" pivotButton="0" quotePrefix="0" xfId="1">
      <alignment horizontal="center" vertical="center"/>
    </xf>
    <xf numFmtId="0" fontId="13" fillId="12" borderId="2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10" fillId="0" borderId="17" applyAlignment="1" pivotButton="0" quotePrefix="0" xfId="0">
      <alignment vertical="center" wrapText="1"/>
    </xf>
    <xf numFmtId="0" fontId="11" fillId="24" borderId="15" applyAlignment="1" pivotButton="0" quotePrefix="0" xfId="0">
      <alignment horizontal="left" vertical="center" wrapText="1"/>
    </xf>
    <xf numFmtId="0" fontId="12" fillId="25" borderId="16" applyAlignment="1" pivotButton="0" quotePrefix="0" xfId="0">
      <alignment horizontal="center" vertical="center" wrapText="1"/>
    </xf>
    <xf numFmtId="0" fontId="8" fillId="22" borderId="9" applyAlignment="1" pivotButton="0" quotePrefix="0" xfId="0">
      <alignment horizontal="center" vertical="center" wrapText="1"/>
    </xf>
    <xf numFmtId="0" fontId="8" fillId="22" borderId="10" applyAlignment="1" pivotButton="0" quotePrefix="0" xfId="0">
      <alignment horizontal="center" vertical="center" wrapText="1"/>
    </xf>
    <xf numFmtId="0" fontId="8" fillId="22" borderId="11" applyAlignment="1" pivotButton="0" quotePrefix="0" xfId="0">
      <alignment horizontal="center" vertical="center" wrapText="1"/>
    </xf>
    <xf numFmtId="0" fontId="9" fillId="23" borderId="12" applyAlignment="1" pivotButton="0" quotePrefix="0" xfId="0">
      <alignment horizontal="left" vertical="center" wrapText="1"/>
    </xf>
    <xf numFmtId="0" fontId="9" fillId="23" borderId="13" applyAlignment="1" pivotButton="0" quotePrefix="0" xfId="0">
      <alignment horizontal="left" vertical="center" wrapText="1"/>
    </xf>
    <xf numFmtId="0" fontId="9" fillId="23" borderId="14" applyAlignment="1" pivotButton="0" quotePrefix="0" xfId="0">
      <alignment horizontal="left" vertical="center" wrapText="1"/>
    </xf>
    <xf numFmtId="49" fontId="38" fillId="0" borderId="2" applyAlignment="1" pivotButton="0" quotePrefix="0" xfId="0">
      <alignment horizontal="center" vertical="center" wrapText="1"/>
    </xf>
    <xf numFmtId="0" fontId="37" fillId="2" borderId="2" applyAlignment="1" pivotButton="0" quotePrefix="0" xfId="0">
      <alignment horizontal="center" vertical="center" wrapText="1"/>
    </xf>
    <xf numFmtId="0" fontId="36" fillId="2" borderId="2" applyAlignment="1" pivotButton="0" quotePrefix="0" xfId="0">
      <alignment horizontal="center" vertical="center" wrapText="1"/>
    </xf>
    <xf numFmtId="0" fontId="39" fillId="3" borderId="0" applyAlignment="1" pivotButton="0" quotePrefix="0" xfId="0">
      <alignment horizontal="center" vertical="center" wrapText="1"/>
    </xf>
    <xf numFmtId="0" fontId="34" fillId="8" borderId="0" applyAlignment="1" pivotButton="0" quotePrefix="0" xfId="0">
      <alignment horizontal="center" vertical="center" wrapText="1"/>
    </xf>
    <xf numFmtId="49" fontId="14" fillId="0" borderId="2" applyAlignment="1" pivotButton="0" quotePrefix="0" xfId="0">
      <alignment horizontal="center" vertical="center" wrapText="1"/>
    </xf>
    <xf numFmtId="49" fontId="38" fillId="8" borderId="2" applyAlignment="1" pivotButton="0" quotePrefix="0" xfId="0">
      <alignment horizontal="center" vertical="center" wrapText="1"/>
    </xf>
    <xf numFmtId="49" fontId="37" fillId="15" borderId="2" applyAlignment="1" pivotButton="0" quotePrefix="0" xfId="0">
      <alignment horizontal="center" vertical="center" wrapText="1"/>
    </xf>
    <xf numFmtId="49" fontId="37" fillId="0" borderId="2" applyAlignment="1" pivotButton="0" quotePrefix="0" xfId="0">
      <alignment horizontal="center" vertical="center" wrapText="1"/>
    </xf>
    <xf numFmtId="49" fontId="38" fillId="0" borderId="2" applyAlignment="1" pivotButton="0" quotePrefix="0" xfId="0">
      <alignment horizontal="center" vertical="center" wrapText="1"/>
    </xf>
    <xf numFmtId="0" fontId="34" fillId="15" borderId="2" applyAlignment="1" pivotButton="0" quotePrefix="0" xfId="0">
      <alignment horizontal="center" vertical="center" wrapText="1"/>
    </xf>
    <xf numFmtId="0" fontId="35" fillId="15" borderId="2" applyAlignment="1" pivotButton="0" quotePrefix="0" xfId="0">
      <alignment horizontal="center" vertical="center" wrapText="1"/>
    </xf>
    <xf numFmtId="0" fontId="40" fillId="16" borderId="2" applyAlignment="1" pivotButton="0" quotePrefix="0" xfId="0">
      <alignment horizontal="center" vertical="center" wrapText="1"/>
    </xf>
    <xf numFmtId="0" fontId="41" fillId="16" borderId="2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center" vertical="center" wrapText="1"/>
    </xf>
    <xf numFmtId="0" fontId="36" fillId="0" borderId="2" applyAlignment="1" pivotButton="0" quotePrefix="0" xfId="0">
      <alignment horizontal="center" vertical="center" wrapText="1"/>
    </xf>
    <xf numFmtId="0" fontId="40" fillId="17" borderId="2" applyAlignment="1" pivotButton="0" quotePrefix="0" xfId="0">
      <alignment horizontal="center" vertical="center" wrapText="1"/>
    </xf>
    <xf numFmtId="0" fontId="41" fillId="17" borderId="2" applyAlignment="1" pivotButton="0" quotePrefix="0" xfId="0">
      <alignment horizontal="center" vertical="center" wrapText="1"/>
    </xf>
    <xf numFmtId="0" fontId="37" fillId="19" borderId="2" applyAlignment="1" pivotButton="0" quotePrefix="0" xfId="0">
      <alignment horizontal="center" vertical="center" wrapText="1"/>
    </xf>
    <xf numFmtId="0" fontId="36" fillId="19" borderId="2" applyAlignment="1" pivotButton="0" quotePrefix="0" xfId="0">
      <alignment horizontal="center" vertical="center" wrapText="1"/>
    </xf>
    <xf numFmtId="0" fontId="36" fillId="15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26" pivotButton="0" quotePrefix="0" xfId="0"/>
    <xf numFmtId="0" fontId="22" fillId="0" borderId="3" applyAlignment="1" pivotButton="0" quotePrefix="0" xfId="1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39" fillId="3" borderId="3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7" fillId="8" borderId="3" applyAlignment="1" pivotButton="0" quotePrefix="0" xfId="0">
      <alignment horizontal="center" vertical="center" wrapText="1"/>
    </xf>
    <xf numFmtId="0" fontId="8" fillId="22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9" fillId="23" borderId="39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4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topLeftCell="A17" workbookViewId="0">
      <selection activeCell="I70" sqref="A1:XFD1048576"/>
    </sheetView>
  </sheetViews>
  <sheetFormatPr baseColWidth="8" defaultRowHeight="14.25"/>
  <cols>
    <col width="22" customWidth="1" style="33" min="1" max="1"/>
    <col width="42" customWidth="1" style="33" min="2" max="2"/>
    <col width="12" customWidth="1" style="33" min="3" max="3"/>
    <col width="15.5" customWidth="1" style="33" min="4" max="4"/>
    <col width="20" customWidth="1" style="33" min="5" max="5"/>
    <col width="52" customWidth="1" style="33" min="6" max="6"/>
    <col width="9" customWidth="1" style="33" min="7" max="16384"/>
  </cols>
  <sheetData>
    <row r="1" ht="33.95" customHeight="1" s="3">
      <c r="A1" s="71" t="inlineStr">
        <is>
          <t>Kirole BLE 通信协议 —— 命令字节表</t>
        </is>
      </c>
      <c r="B1" s="61" t="n"/>
      <c r="C1" s="61" t="n"/>
      <c r="D1" s="61" t="n"/>
      <c r="E1" s="61" t="n"/>
      <c r="F1" s="143" t="n"/>
    </row>
    <row r="2" ht="21.95" customHeight="1" s="3">
      <c r="A2" s="72" t="inlineStr">
        <is>
          <t>依据《Kirole BLE 通信协议规格文档 2.10.1》及《Kirole 设备离线运行协议改动方案》整理 · 2026-08-18 · 所有大小单位均为字节（Byte） · Ver:1.3.0 · 保留 Ver 1.2.0 专注重连并新增完整 Schedule v2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69" t="inlineStr">
        <is>
          <t>一、BLE 配置与通用约定</t>
        </is>
      </c>
      <c r="B4" s="61" t="n"/>
      <c r="C4" s="61" t="n"/>
      <c r="D4" s="61" t="n"/>
      <c r="E4" s="61" t="n"/>
      <c r="F4" s="143" t="n"/>
    </row>
    <row r="5" ht="21.95" customHeight="1" s="3">
      <c r="A5" s="39" t="inlineStr">
        <is>
          <t>项目</t>
        </is>
      </c>
      <c r="B5" s="39" t="inlineStr">
        <is>
          <t>值</t>
        </is>
      </c>
      <c r="C5" s="39" t="inlineStr">
        <is>
          <t>大小</t>
        </is>
      </c>
      <c r="D5" s="39" t="inlineStr">
        <is>
          <t>单位/属性</t>
        </is>
      </c>
      <c r="E5" s="39" t="inlineStr">
        <is>
          <t>说明</t>
        </is>
      </c>
      <c r="F5" s="39" t="inlineStr">
        <is>
          <t>备注</t>
        </is>
      </c>
    </row>
    <row r="6" ht="81" customHeight="1" s="3">
      <c r="A6" s="47" t="inlineStr">
        <is>
          <t>Service UUID</t>
        </is>
      </c>
      <c r="B6" s="47" t="inlineStr">
        <is>
          <t>0000FFE0-0000-1000-8000-00805F9B34FB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设备广播包必须携带，App 只扫描带该 UUID 的外设</t>
        </is>
      </c>
      <c r="F6" s="47" t="inlineStr">
        <is>
          <t>§2.1</t>
        </is>
      </c>
    </row>
    <row r="7" ht="51" customHeight="1" s="3">
      <c r="A7" s="48" t="inlineStr">
        <is>
          <t>Write characteristic</t>
        </is>
      </c>
      <c r="B7" s="48" t="inlineStr">
        <is>
          <t>0000FFE1-0000-1000-8000-00805F9B34FB</t>
        </is>
      </c>
      <c r="C7" s="48" t="inlineStr">
        <is>
          <t>-</t>
        </is>
      </c>
      <c r="D7" s="48" t="inlineStr">
        <is>
          <t>Write</t>
        </is>
      </c>
      <c r="E7" s="48" t="inlineStr">
        <is>
          <t>App → Device 命令通道</t>
        </is>
      </c>
      <c r="F7" s="48" t="inlineStr">
        <is>
          <t>§2.2</t>
        </is>
      </c>
    </row>
    <row r="8" ht="51" customHeight="1" s="3">
      <c r="A8" s="47" t="inlineStr">
        <is>
          <t>Notify characteristic</t>
        </is>
      </c>
      <c r="B8" s="47" t="inlineStr">
        <is>
          <t>0000FFE2-0000-1000-8000-00805F9B34FB</t>
        </is>
      </c>
      <c r="C8" s="47" t="inlineStr">
        <is>
          <t>-</t>
        </is>
      </c>
      <c r="D8" s="47" t="inlineStr">
        <is>
          <t>Notify</t>
        </is>
      </c>
      <c r="E8" s="47" t="inlineStr">
        <is>
          <t>Device → App 事件通道</t>
        </is>
      </c>
      <c r="F8" s="47" t="inlineStr">
        <is>
          <t>§2.2</t>
        </is>
      </c>
    </row>
    <row r="9" ht="51" customHeight="1" s="3">
      <c r="A9" s="48" t="inlineStr">
        <is>
          <t>多字节整数</t>
        </is>
      </c>
      <c r="B9" s="48" t="inlineStr">
        <is>
          <t>Big Endian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多字节整数一律大端（BE）</t>
        </is>
      </c>
      <c r="F9" s="48" t="inlineStr">
        <is>
          <t>§3.6</t>
        </is>
      </c>
    </row>
    <row r="10" ht="51" customHeight="1" s="3">
      <c r="A10" s="47" t="inlineStr">
        <is>
          <t>有符号整数</t>
        </is>
      </c>
      <c r="B10" s="47" t="inlineStr">
        <is>
          <t>二进制补码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int8 等按二进制补码解释</t>
        </is>
      </c>
      <c r="F10" s="47" t="inlineStr">
        <is>
          <t>§3.6</t>
        </is>
      </c>
    </row>
    <row r="11" ht="81" customHeight="1" s="3">
      <c r="A11" s="48" t="inlineStr">
        <is>
          <t>字符串编码</t>
        </is>
      </c>
      <c r="B11" s="48" t="inlineStr">
        <is>
          <t>Length(1B) + UTF-8(NB)</t>
        </is>
      </c>
      <c r="C11" s="48" t="inlineStr">
        <is>
          <t>1+N</t>
        </is>
      </c>
      <c r="D11" s="48" t="inlineStr">
        <is>
          <t>UTF-8</t>
        </is>
      </c>
      <c r="E11" s="48" t="inlineStr">
        <is>
          <t>Length 为字节数；App 保证仅可打印 ASCII 0x20–0x7E</t>
        </is>
      </c>
      <c r="F11" s="48" t="inlineStr">
        <is>
          <t>§3.5</t>
        </is>
      </c>
    </row>
    <row r="12" ht="90" customHeight="1" s="3">
      <c r="A12" s="47" t="inlineStr">
        <is>
          <t>Type 字节按方向解释</t>
        </is>
      </c>
      <c r="B12" s="47" t="inlineStr">
        <is>
          <t>Write 用第 4 节命令表 / Notify 用第 5 节事件表</t>
        </is>
      </c>
      <c r="C12" s="47" t="inlineStr">
        <is>
          <t>-</t>
        </is>
      </c>
      <c r="D12" s="47" t="inlineStr">
        <is>
          <t>-</t>
        </is>
      </c>
      <c r="E12" s="47" t="inlineStr">
        <is>
          <t>同一 Type 值双向含义不同（如 0x10=DayPack / EnterTaskIn）</t>
        </is>
      </c>
      <c r="F12" s="47" t="inlineStr">
        <is>
          <t>§2.4</t>
        </is>
      </c>
    </row>
    <row r="13" ht="18" customHeight="1" s="3">
      <c r="A13" s="59" t="n"/>
      <c r="B13" s="59" t="n"/>
      <c r="C13" s="59" t="n"/>
      <c r="D13" s="59" t="n"/>
      <c r="E13" s="59" t="n"/>
      <c r="F13" s="59" t="n"/>
    </row>
    <row r="14"/>
    <row r="15" ht="24" customHeight="1" s="3">
      <c r="A15" s="69" t="inlineStr">
        <is>
          <t>二、通用数据包格式（简单包）</t>
        </is>
      </c>
      <c r="B15" s="61" t="n"/>
      <c r="C15" s="61" t="n"/>
      <c r="D15" s="61" t="n"/>
      <c r="E15" s="61" t="n"/>
      <c r="F15" s="143" t="n"/>
    </row>
    <row r="16" ht="21.95" customHeight="1" s="3">
      <c r="A16" s="39" t="inlineStr">
        <is>
          <t>方向</t>
        </is>
      </c>
      <c r="B16" s="39" t="inlineStr">
        <is>
          <t>Type</t>
        </is>
      </c>
      <c r="C16" s="39" t="inlineStr">
        <is>
          <t>Length</t>
        </is>
      </c>
      <c r="D16" s="39" t="inlineStr">
        <is>
          <t>Payload</t>
        </is>
      </c>
      <c r="E16" s="39" t="inlineStr">
        <is>
          <t>帧长</t>
        </is>
      </c>
      <c r="F16" s="39" t="inlineStr">
        <is>
          <t>说明</t>
        </is>
      </c>
    </row>
    <row r="17" ht="51" customHeight="1" s="3">
      <c r="A17" s="47" t="inlineStr">
        <is>
          <t>App → Device</t>
        </is>
      </c>
      <c r="B17" s="47" t="inlineStr">
        <is>
          <t>1 字节</t>
        </is>
      </c>
      <c r="C17" s="47" t="inlineStr">
        <is>
          <t>2 字节（BE）</t>
        </is>
      </c>
      <c r="D17" s="47" t="inlineStr">
        <is>
          <t>N 字节</t>
        </is>
      </c>
      <c r="E17" s="47" t="inlineStr">
        <is>
          <t>3 + N</t>
        </is>
      </c>
      <c r="F17" s="47" t="inlineStr">
        <is>
          <t>packet.count 必须等于 3 + Length；尾部多余字节视为格式错误（§3.1）</t>
        </is>
      </c>
    </row>
    <row r="18" ht="36" customHeight="1" s="3">
      <c r="A18" s="48" t="inlineStr">
        <is>
          <t>Device → App</t>
        </is>
      </c>
      <c r="B18" s="48" t="inlineStr">
        <is>
          <t>1 字节</t>
        </is>
      </c>
      <c r="C18" s="48" t="inlineStr">
        <is>
          <t>1 字节</t>
        </is>
      </c>
      <c r="D18" s="48" t="inlineStr">
        <is>
          <t>N 字节</t>
        </is>
      </c>
      <c r="E18" s="48" t="inlineStr">
        <is>
          <t>2 + N</t>
        </is>
      </c>
      <c r="F18" s="48" t="inlineStr">
        <is>
          <t>简单事件包必须等于 2 + Length（§3.1/§5.1）</t>
        </is>
      </c>
    </row>
    <row r="19"/>
    <row r="20"/>
    <row r="21" ht="24" customHeight="1" s="3">
      <c r="A21" s="69" t="inlineStr">
        <is>
          <t>三、分包格式（大 Payload，11 字节头，双向通用）</t>
        </is>
      </c>
      <c r="B21" s="61" t="n"/>
      <c r="C21" s="61" t="n"/>
      <c r="D21" s="61" t="n"/>
      <c r="E21" s="61" t="n"/>
      <c r="F21" s="143" t="n"/>
    </row>
    <row r="22" ht="21.95" customHeight="1" s="3">
      <c r="A22" s="39" t="inlineStr">
        <is>
          <t>偏移</t>
        </is>
      </c>
      <c r="B22" s="39" t="inlineStr">
        <is>
          <t>字段</t>
        </is>
      </c>
      <c r="C22" s="39" t="inlineStr">
        <is>
          <t>大小</t>
        </is>
      </c>
      <c r="D22" s="39" t="inlineStr">
        <is>
          <t>说明</t>
        </is>
      </c>
      <c r="E22" s="39" t="n"/>
      <c r="F22" s="39" t="n"/>
    </row>
    <row r="23" ht="81" customHeight="1" s="3">
      <c r="A23" s="47" t="n">
        <v>0</v>
      </c>
      <c r="B23" s="47" t="inlineStr">
        <is>
          <t>Type</t>
        </is>
      </c>
      <c r="C23" s="47" t="n">
        <v>1</v>
      </c>
      <c r="D23" s="47" t="inlineStr">
        <is>
          <t>命令类型标识符（同 §3.1）</t>
        </is>
      </c>
      <c r="E23" s="47" t="n"/>
      <c r="F23" s="47" t="n"/>
    </row>
    <row r="24" ht="90" customHeight="1" s="3">
      <c r="A24" s="48" t="inlineStr">
        <is>
          <t>1..2</t>
        </is>
      </c>
      <c r="B24" s="48" t="inlineStr">
        <is>
          <t>MessageId</t>
        </is>
      </c>
      <c r="C24" s="48" t="n">
        <v>2</v>
      </c>
      <c r="D24" s="48" t="inlineStr">
        <is>
          <t>消息标识符（BE），同一消息的所有分包共享</t>
        </is>
      </c>
      <c r="E24" s="48" t="n"/>
      <c r="F24" s="48" t="n"/>
    </row>
    <row r="25" ht="90" customHeight="1" s="3">
      <c r="A25" s="47" t="inlineStr">
        <is>
          <t>3..4</t>
        </is>
      </c>
      <c r="B25" s="47" t="inlineStr">
        <is>
          <t>Seq</t>
        </is>
      </c>
      <c r="C25" s="47" t="n">
        <v>2</v>
      </c>
      <c r="D25" s="47" t="inlineStr">
        <is>
          <t>分包序号（BE，从 0 开始）；重发必须从 Seq=0 整条重发（v2.5.24 由 1B 扩为 2B）</t>
        </is>
      </c>
      <c r="E25" s="47" t="n"/>
      <c r="F25" s="47" t="n"/>
    </row>
    <row r="26" ht="90" customHeight="1" s="3">
      <c r="A26" s="48" t="inlineStr">
        <is>
          <t>5..6</t>
        </is>
      </c>
      <c r="B26" s="48" t="inlineStr">
        <is>
          <t>Total</t>
        </is>
      </c>
      <c r="C26" s="48" t="n">
        <v>2</v>
      </c>
      <c r="D26" s="48" t="inlineStr">
        <is>
          <t>分包总数（BE），上限 65535（v2.5.24 由 1B 扩为 2B）</t>
        </is>
      </c>
      <c r="E26" s="48" t="n"/>
      <c r="F26" s="48" t="n"/>
    </row>
    <row r="27" ht="81" customHeight="1" s="3">
      <c r="A27" s="47" t="inlineStr">
        <is>
          <t>7..8</t>
        </is>
      </c>
      <c r="B27" s="47" t="inlineStr">
        <is>
          <t>PayloadLen</t>
        </is>
      </c>
      <c r="C27" s="47" t="n">
        <v>2</v>
      </c>
      <c r="D27" s="47" t="inlineStr">
        <is>
          <t>本分包 payload 长度（BE）</t>
        </is>
      </c>
      <c r="E27" s="47" t="n"/>
      <c r="F27" s="47" t="n"/>
    </row>
    <row r="28" ht="90" customHeight="1" s="3">
      <c r="A28" s="48" t="inlineStr">
        <is>
          <t>9..10</t>
        </is>
      </c>
      <c r="B28" s="48" t="inlineStr">
        <is>
          <t>CRC16</t>
        </is>
      </c>
      <c r="C28" s="48" t="n">
        <v>2</v>
      </c>
      <c r="D28" s="48" t="inlineStr">
        <is>
          <t>本分包 payload 的 CRC16-CCITT-FALSE（BE）</t>
        </is>
      </c>
      <c r="E28" s="48" t="n"/>
      <c r="F28" s="48" t="n"/>
    </row>
    <row r="29" ht="51" customHeight="1" s="3">
      <c r="A29" s="47" t="inlineStr">
        <is>
          <t>11..</t>
        </is>
      </c>
      <c r="B29" s="47" t="inlineStr">
        <is>
          <t>Payload</t>
        </is>
      </c>
      <c r="C29" s="47" t="inlineStr">
        <is>
          <t>N</t>
        </is>
      </c>
      <c r="D29" s="47" t="inlineStr">
        <is>
          <t>分包 payload 数据</t>
        </is>
      </c>
      <c r="E29" s="47" t="n"/>
      <c r="F29" s="47" t="n"/>
    </row>
    <row r="30"/>
    <row r="31" ht="36" customHeight="1" s="3">
      <c r="A31" s="144" t="inlineStr">
        <is>
          <t>CRC16-CCITT-FALSE：多项式 0x1021、初值 0xFFFF、XOR out 0x0000、Reflect in/out false。适用于 0x03 / 0x10 / 0x11 / 0x15 / 0x16 / 0x1B 等大 payload；接收端按 MessageId 分槽重组，App 不发送分包级 ACK。</t>
        </is>
      </c>
    </row>
    <row r="32"/>
    <row r="33"/>
    <row r="34" ht="24" customHeight="1" s="3">
      <c r="A34" s="69" t="inlineStr">
        <is>
          <t>四、安全握手（0x7F，secure 模式连接后必须先握手）</t>
        </is>
      </c>
      <c r="B34" s="61" t="n"/>
      <c r="C34" s="61" t="n"/>
      <c r="D34" s="61" t="n"/>
      <c r="E34" s="61" t="n"/>
      <c r="F34" s="143" t="n"/>
    </row>
    <row r="35" ht="21.95" customHeight="1" s="3">
      <c r="A35" s="39" t="inlineStr">
        <is>
          <t>消息</t>
        </is>
      </c>
      <c r="B35" s="39" t="inlineStr">
        <is>
          <t>Kind</t>
        </is>
      </c>
      <c r="C35" s="39" t="inlineStr">
        <is>
          <t>结构</t>
        </is>
      </c>
      <c r="D35" s="39" t="inlineStr">
        <is>
          <t>总长</t>
        </is>
      </c>
      <c r="E35" s="39" t="inlineStr">
        <is>
          <t>说明</t>
        </is>
      </c>
      <c r="F35" s="39" t="n"/>
    </row>
    <row r="36" ht="90" customHeight="1" s="3">
      <c r="A36" s="47" t="inlineStr">
        <is>
          <t>ClientHello</t>
        </is>
      </c>
      <c r="B36" s="47" t="inlineStr">
        <is>
          <t>0x01</t>
        </is>
      </c>
      <c r="C36" s="47" t="inlineStr">
        <is>
          <t>kind(1) + clientNonce(8) + timestamp(4) + hmac(32)</t>
        </is>
      </c>
      <c r="D36" s="47" t="n">
        <v>45</v>
      </c>
      <c r="E36" s="47" t="inlineStr">
        <is>
          <t>App → Device，HMAC-SHA256，时间窗口 ±120 秒</t>
        </is>
      </c>
      <c r="F36" s="47" t="n"/>
    </row>
    <row r="37" ht="90" customHeight="1" s="3">
      <c r="A37" s="48" t="inlineStr">
        <is>
          <t>ServerHello</t>
        </is>
      </c>
      <c r="B37" s="48" t="inlineStr">
        <is>
          <t>0x02</t>
        </is>
      </c>
      <c r="C37" s="48" t="inlineStr">
        <is>
          <t>kind(1) + clientNonce(8) + serverNonce(8) + timestamp(4) + hmac(32)</t>
        </is>
      </c>
      <c r="D37" s="48" t="n">
        <v>53</v>
      </c>
      <c r="E37" s="48" t="inlineStr">
        <is>
          <t>Device → App，HMAC-SHA256，时间窗口 ±120 秒</t>
        </is>
      </c>
      <c r="F37" s="48" t="n"/>
    </row>
    <row r="38"/>
    <row r="39"/>
    <row r="40" ht="24" customHeight="1" s="3">
      <c r="A40" s="69" t="inlineStr">
        <is>
          <t>五、SecureEnvelope（0x7E，secure 模式业务封装，总长 48 + N 字节）</t>
        </is>
      </c>
      <c r="B40" s="61" t="n"/>
      <c r="C40" s="61" t="n"/>
      <c r="D40" s="61" t="n"/>
      <c r="E40" s="61" t="n"/>
      <c r="F40" s="143" t="n"/>
    </row>
    <row r="41" ht="21.95" customHeight="1" s="3">
      <c r="A41" s="39" t="inlineStr">
        <is>
          <t>偏移</t>
        </is>
      </c>
      <c r="B41" s="39" t="inlineStr">
        <is>
          <t>字段</t>
        </is>
      </c>
      <c r="C41" s="39" t="inlineStr">
        <is>
          <t>大小</t>
        </is>
      </c>
      <c r="D41" s="39" t="inlineStr">
        <is>
          <t>说明</t>
        </is>
      </c>
      <c r="E41" s="39" t="n"/>
      <c r="F41" s="39" t="n"/>
    </row>
    <row r="42" ht="36" customHeight="1" s="3">
      <c r="A42" s="47" t="n">
        <v>0</v>
      </c>
      <c r="B42" s="47" t="inlineStr">
        <is>
          <t>version</t>
        </is>
      </c>
      <c r="C42" s="47" t="n">
        <v>1</v>
      </c>
      <c r="D42" s="47" t="inlineStr">
        <is>
          <t>固定 0x02</t>
        </is>
      </c>
      <c r="E42" s="47" t="n"/>
      <c r="F42" s="47" t="n"/>
    </row>
    <row r="43" ht="51" customHeight="1" s="3">
      <c r="A43" s="48" t="n">
        <v>1</v>
      </c>
      <c r="B43" s="48" t="inlineStr">
        <is>
          <t>payloadType</t>
        </is>
      </c>
      <c r="C43" s="48" t="n">
        <v>1</v>
      </c>
      <c r="D43" s="48" t="inlineStr">
        <is>
          <t>内层业务命令类型</t>
        </is>
      </c>
      <c r="E43" s="48" t="n"/>
      <c r="F43" s="48" t="n"/>
    </row>
    <row r="44" ht="51" customHeight="1" s="3">
      <c r="A44" s="47" t="inlineStr">
        <is>
          <t>2..9</t>
        </is>
      </c>
      <c r="B44" s="47" t="inlineStr">
        <is>
          <t>nonce</t>
        </is>
      </c>
      <c r="C44" s="47" t="n">
        <v>8</v>
      </c>
      <c r="D44" s="47" t="inlineStr">
        <is>
          <t>随机数，防重放</t>
        </is>
      </c>
      <c r="E44" s="47" t="n"/>
      <c r="F44" s="47" t="n"/>
    </row>
    <row r="45" ht="81" customHeight="1" s="3">
      <c r="A45" s="48" t="inlineStr">
        <is>
          <t>10..13</t>
        </is>
      </c>
      <c r="B45" s="48" t="inlineStr">
        <is>
          <t>issuedAt</t>
        </is>
      </c>
      <c r="C45" s="48" t="n">
        <v>4</v>
      </c>
      <c r="D45" s="48" t="inlineStr">
        <is>
          <t>签发时间戳（±120 秒窗口）</t>
        </is>
      </c>
      <c r="E45" s="48" t="n"/>
      <c r="F45" s="48" t="n"/>
    </row>
    <row r="46" ht="66" customHeight="1" s="3">
      <c r="A46" s="47" t="inlineStr">
        <is>
          <t>14..15</t>
        </is>
      </c>
      <c r="B46" s="47" t="inlineStr">
        <is>
          <t>payloadLen</t>
        </is>
      </c>
      <c r="C46" s="47" t="n">
        <v>2</v>
      </c>
      <c r="D46" s="47" t="inlineStr">
        <is>
          <t>内层 payload 长度（BE）</t>
        </is>
      </c>
      <c r="E46" s="47" t="n"/>
      <c r="F46" s="47" t="n"/>
    </row>
    <row r="47" ht="51" customHeight="1" s="3">
      <c r="A47" s="48" t="inlineStr">
        <is>
          <t>16..</t>
        </is>
      </c>
      <c r="B47" s="48" t="inlineStr">
        <is>
          <t>payload</t>
        </is>
      </c>
      <c r="C47" s="48" t="inlineStr">
        <is>
          <t>N</t>
        </is>
      </c>
      <c r="D47" s="48" t="inlineStr">
        <is>
          <t>内层业务 payload</t>
        </is>
      </c>
      <c r="E47" s="48" t="n"/>
      <c r="F47" s="48" t="n"/>
    </row>
    <row r="48" ht="81" customHeight="1" s="3">
      <c r="A48" s="47" t="inlineStr">
        <is>
          <t>16+N..</t>
        </is>
      </c>
      <c r="B48" s="47" t="inlineStr">
        <is>
          <t>signature</t>
        </is>
      </c>
      <c r="C48" s="47" t="n">
        <v>32</v>
      </c>
      <c r="D48" s="47" t="inlineStr">
        <is>
          <t>HMAC-SHA256(version..payload)</t>
        </is>
      </c>
      <c r="E48" s="47" t="n"/>
      <c r="F48" s="47" t="n"/>
    </row>
    <row r="49"/>
    <row r="50" ht="36" customHeight="1" s="3">
      <c r="A50" s="145" t="inlineStr">
        <is>
          <t>接收端必须校验签名、时间窗口与 nonce 重放；payloadLen 之后必须正好是 payload(NB) + signature(32B)。来源文件：F:\work\project\ODM\Kirole\document\Kirole BLE 通信协议规格文档2.10.1.md</t>
        </is>
      </c>
    </row>
  </sheetData>
  <mergeCells count="9">
    <mergeCell ref="A2:F2"/>
    <mergeCell ref="A1:F1"/>
    <mergeCell ref="A31:F31"/>
    <mergeCell ref="A34:F34"/>
    <mergeCell ref="A50:F50"/>
    <mergeCell ref="A40:F40"/>
    <mergeCell ref="A4:F4"/>
    <mergeCell ref="A21:F21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topLeftCell="A4" workbookViewId="0">
      <selection activeCell="J15" sqref="A1:XFD1048576"/>
    </sheetView>
  </sheetViews>
  <sheetFormatPr baseColWidth="8" defaultRowHeight="14.25"/>
  <cols>
    <col width="10" customWidth="1" style="33" min="1" max="1"/>
    <col width="24" customWidth="1" style="33" min="2" max="2"/>
    <col width="22" customWidth="1" style="33" min="3" max="4"/>
    <col width="46" customWidth="1" style="33" min="5" max="5"/>
    <col width="13" customWidth="1" style="33" min="6" max="6"/>
    <col width="9" customWidth="1" style="33" min="7" max="16384"/>
  </cols>
  <sheetData>
    <row r="1" ht="33.95" customHeight="1" s="3">
      <c r="A1" s="71" t="inlineStr">
        <is>
          <t>命令总览</t>
        </is>
      </c>
      <c r="B1" s="61" t="n"/>
      <c r="C1" s="61" t="n"/>
      <c r="D1" s="61" t="n"/>
      <c r="E1" s="61" t="n"/>
      <c r="F1" s="143" t="n"/>
    </row>
    <row r="2" ht="21.95" customHeight="1" s="3">
      <c r="A2" s="72" t="inlineStr">
        <is>
          <t>App → Device 命令 23 个（含安全帧） · Device → App 事件 24 个 · Ver 1.2.0 专注重连扩展保留 · Ver 1.3.0 新增完整 Schedule v2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73" t="inlineStr">
        <is>
          <t>App → Device 命令（23 个）</t>
        </is>
      </c>
      <c r="B4" s="61" t="n"/>
      <c r="C4" s="61" t="n"/>
      <c r="D4" s="61" t="n"/>
      <c r="E4" s="61" t="n"/>
      <c r="F4" s="143" t="n"/>
    </row>
    <row r="5" ht="21.95" customHeight="1" s="3">
      <c r="A5" s="39" t="inlineStr">
        <is>
          <t>Type</t>
        </is>
      </c>
      <c r="B5" s="39" t="inlineStr">
        <is>
          <t>名称</t>
        </is>
      </c>
      <c r="C5" s="39" t="inlineStr">
        <is>
          <t>Payload 长度</t>
        </is>
      </c>
      <c r="D5" s="39" t="inlineStr">
        <is>
          <t>传输方式</t>
        </is>
      </c>
      <c r="E5" s="39" t="inlineStr">
        <is>
          <t>说明</t>
        </is>
      </c>
      <c r="F5" s="39" t="inlineStr">
        <is>
          <t>章节</t>
        </is>
      </c>
    </row>
    <row r="6" ht="29.1" customHeight="1" s="3">
      <c r="A6" s="47" t="inlineStr">
        <is>
          <t>0x01</t>
        </is>
      </c>
      <c r="B6" s="47" t="inlineStr">
        <is>
          <t>PetStatus</t>
        </is>
      </c>
      <c r="C6" s="47">
        <f>'App命令-简单'!C11</f>
        <v/>
      </c>
      <c r="D6" s="47" t="inlineStr">
        <is>
          <t>简单包</t>
        </is>
      </c>
      <c r="E6" s="47" t="inlineStr">
        <is>
          <t>宠物状态信息</t>
        </is>
      </c>
      <c r="F6" s="47" t="inlineStr">
        <is>
          <t>§4.2</t>
        </is>
      </c>
    </row>
    <row r="7" ht="29.1" customHeight="1" s="3">
      <c r="A7" s="48" t="inlineStr">
        <is>
          <t>0x02</t>
        </is>
      </c>
      <c r="B7" s="48" t="inlineStr">
        <is>
          <t>TaskList</t>
        </is>
      </c>
      <c r="C7" s="48">
        <f>'App命令-简单'!C19</f>
        <v/>
      </c>
      <c r="D7" s="48" t="inlineStr">
        <is>
          <t>简单包</t>
        </is>
      </c>
      <c r="E7" s="48" t="inlineStr">
        <is>
          <t>今日任务列表（最多 10 个）</t>
        </is>
      </c>
      <c r="F7" s="48" t="inlineStr">
        <is>
          <t>§4.3</t>
        </is>
      </c>
    </row>
    <row r="8" ht="29.1" customHeight="1" s="3">
      <c r="A8" s="47" t="inlineStr">
        <is>
          <t>0x03</t>
        </is>
      </c>
      <c r="B8" s="47" t="inlineStr">
        <is>
          <t>Schedule</t>
        </is>
      </c>
      <c r="C8" s="47">
        <f>'App命令-简单'!C27</f>
        <v/>
      </c>
      <c r="D8" s="35" t="inlineStr">
        <is>
          <t>简单包 / 分包（11B 头）</t>
        </is>
      </c>
      <c r="E8" s="35" t="inlineStr">
        <is>
          <t>完整 Schedule v2 日程快照；包含日期、标题、描述、分类、结束时间与辅助文案</t>
        </is>
      </c>
      <c r="F8" s="47" t="inlineStr">
        <is>
          <t>§4.4</t>
        </is>
      </c>
    </row>
    <row r="9" ht="29.1" customHeight="1" s="3">
      <c r="A9" s="48" t="inlineStr">
        <is>
          <t>0x04</t>
        </is>
      </c>
      <c r="B9" s="48" t="inlineStr">
        <is>
          <t>Weather</t>
        </is>
      </c>
      <c r="C9" s="48">
        <f>'App命令-简单'!C38</f>
        <v/>
      </c>
      <c r="D9" s="48" t="inlineStr">
        <is>
          <t>简单包</t>
        </is>
      </c>
      <c r="E9" s="48" t="inlineStr">
        <is>
          <t>当前天气信息</t>
        </is>
      </c>
      <c r="F9" s="48" t="inlineStr">
        <is>
          <t>§4.5</t>
        </is>
      </c>
    </row>
    <row r="10" ht="29.1" customHeight="1" s="3">
      <c r="A10" s="47" t="inlineStr">
        <is>
          <t>0x05</t>
        </is>
      </c>
      <c r="B10" s="47" t="inlineStr">
        <is>
          <t>Time</t>
        </is>
      </c>
      <c r="C10" s="47">
        <f>'App命令-简单'!C50</f>
        <v/>
      </c>
      <c r="D10" s="47" t="inlineStr">
        <is>
          <t>简单包</t>
        </is>
      </c>
      <c r="E10" s="47" t="inlineStr">
        <is>
          <t>时间同步</t>
        </is>
      </c>
      <c r="F10" s="47" t="inlineStr">
        <is>
          <t>§4.6</t>
        </is>
      </c>
    </row>
    <row r="11" ht="29.1" customHeight="1" s="3">
      <c r="A11" s="48" t="inlineStr">
        <is>
          <t>0x10</t>
        </is>
      </c>
      <c r="B11" s="48" t="inlineStr">
        <is>
          <t>DayPack</t>
        </is>
      </c>
      <c r="C11" s="48">
        <f>'App命令-复杂'!C22</f>
        <v/>
      </c>
      <c r="D11" s="48" t="inlineStr">
        <is>
          <t>分包（11B 头）</t>
        </is>
      </c>
      <c r="E11" s="48" t="inlineStr">
        <is>
          <t>完整每日数据包</t>
        </is>
      </c>
      <c r="F11" s="48" t="inlineStr">
        <is>
          <t>§4.7</t>
        </is>
      </c>
    </row>
    <row r="12" ht="29.1" customHeight="1" s="3">
      <c r="A12" s="47" t="inlineStr">
        <is>
          <t>0x11</t>
        </is>
      </c>
      <c r="B12" s="47" t="inlineStr">
        <is>
          <t>TaskInPage</t>
        </is>
      </c>
      <c r="C12" s="47">
        <f>'App命令-复杂'!C33</f>
        <v/>
      </c>
      <c r="D12" s="47" t="inlineStr">
        <is>
          <t>分包（11B 头）</t>
        </is>
      </c>
      <c r="E12" s="47" t="inlineStr">
        <is>
          <t>任务详情页数据</t>
        </is>
      </c>
      <c r="F12" s="47" t="inlineStr">
        <is>
          <t>§4.8</t>
        </is>
      </c>
    </row>
    <row r="13" ht="29.1" customHeight="1" s="3">
      <c r="A13" s="48" t="inlineStr">
        <is>
          <t>0x12</t>
        </is>
      </c>
      <c r="B13" s="48" t="inlineStr">
        <is>
          <t>DeviceMode</t>
        </is>
      </c>
      <c r="C13" s="48">
        <f>'App命令-简单'!C57</f>
        <v/>
      </c>
      <c r="D13" s="48" t="inlineStr">
        <is>
          <t>简单包</t>
        </is>
      </c>
      <c r="E13" s="48" t="inlineStr">
        <is>
          <t>设备运行模式</t>
        </is>
      </c>
      <c r="F13" s="48" t="inlineStr">
        <is>
          <t>§4.9</t>
        </is>
      </c>
    </row>
    <row r="14" ht="29.1" customHeight="1" s="3">
      <c r="A14" s="47" t="inlineStr">
        <is>
          <t>0x13</t>
        </is>
      </c>
      <c r="B14" s="47" t="inlineStr">
        <is>
          <t>SmartReminder</t>
        </is>
      </c>
      <c r="C14" s="47">
        <f>'App命令-简单'!C66</f>
        <v/>
      </c>
      <c r="D14" s="47" t="inlineStr">
        <is>
          <t>简单包</t>
        </is>
      </c>
      <c r="E14" s="47" t="inlineStr">
        <is>
          <t>AI 智能提醒推送</t>
        </is>
      </c>
      <c r="F14" s="47" t="inlineStr">
        <is>
          <t>§4.10</t>
        </is>
      </c>
    </row>
    <row r="15" ht="29.1" customHeight="1" s="3">
      <c r="A15" s="36" t="inlineStr">
        <is>
          <t>0x14</t>
        </is>
      </c>
      <c r="B15" s="36" t="inlineStr">
        <is>
          <t>FocusStatus</t>
        </is>
      </c>
      <c r="C15" s="36" t="inlineStr">
        <is>
          <t>25+N（v2）</t>
        </is>
      </c>
      <c r="D15" s="36" t="inlineStr">
        <is>
          <t>简单包</t>
        </is>
      </c>
      <c r="E15" s="36" t="inlineStr">
        <is>
          <t>带 FocusSessionId / FocusRevision 的权威专注状态</t>
        </is>
      </c>
      <c r="F15" s="36" t="inlineStr">
        <is>
          <t>§4.11 / 专注重连页</t>
        </is>
      </c>
    </row>
    <row r="16" ht="29.1" customHeight="1" s="3">
      <c r="A16" s="47" t="inlineStr">
        <is>
          <t>0x15</t>
        </is>
      </c>
      <c r="B16" s="47" t="inlineStr">
        <is>
          <t>CustomAvatarFrame</t>
        </is>
      </c>
      <c r="C16" s="47">
        <f>'App命令-复杂'!C56</f>
        <v/>
      </c>
      <c r="D16" s="47" t="inlineStr">
        <is>
          <t>分包（11B 头）</t>
        </is>
      </c>
      <c r="E16" s="47" t="inlineStr">
        <is>
          <t>候选头像暂存帧（v4，KRI）</t>
        </is>
      </c>
      <c r="F16" s="47" t="inlineStr">
        <is>
          <t>§4.12</t>
        </is>
      </c>
    </row>
    <row r="17" ht="29.1" customHeight="1" s="3">
      <c r="A17" s="48" t="inlineStr">
        <is>
          <t>0x16</t>
        </is>
      </c>
      <c r="B17" s="48" t="inlineStr">
        <is>
          <t>Screensaver</t>
        </is>
      </c>
      <c r="C17" s="48">
        <f>'App命令-简单'!C91</f>
        <v/>
      </c>
      <c r="D17" s="48" t="inlineStr">
        <is>
          <t>简单包 / 分包</t>
        </is>
      </c>
      <c r="E17" s="48" t="inlineStr">
        <is>
          <t>屏保金句 / 明信片</t>
        </is>
      </c>
      <c r="F17" s="48" t="inlineStr">
        <is>
          <t>§4.15</t>
        </is>
      </c>
    </row>
    <row r="18" ht="29.1" customHeight="1" s="3">
      <c r="A18" s="47" t="inlineStr">
        <is>
          <t>0x17</t>
        </is>
      </c>
      <c r="B18" s="47" t="inlineStr">
        <is>
          <t>SceneUnlock</t>
        </is>
      </c>
      <c r="C18" s="47">
        <f>'App命令-简单'!C80</f>
        <v/>
      </c>
      <c r="D18" s="2" t="inlineStr">
        <is>
          <t>简单包</t>
        </is>
      </c>
      <c r="E18" s="47" t="inlineStr">
        <is>
          <t>场景解锁 / 切换</t>
        </is>
      </c>
      <c r="F18" s="47" t="inlineStr">
        <is>
          <t>§4.16</t>
        </is>
      </c>
    </row>
    <row r="19" ht="29.1" customHeight="1" s="3">
      <c r="A19" s="48" t="inlineStr">
        <is>
          <t>0x18</t>
        </is>
      </c>
      <c r="B19" s="48" t="inlineStr">
        <is>
          <t>OTAReboot</t>
        </is>
      </c>
      <c r="C19" s="48">
        <f>'App命令-简单'!C98</f>
        <v/>
      </c>
      <c r="D19" s="48" t="inlineStr">
        <is>
          <t>简单包</t>
        </is>
      </c>
      <c r="E19" s="48" t="inlineStr">
        <is>
          <t>触发固件升级重启（零 payload）</t>
        </is>
      </c>
      <c r="F19" s="48" t="inlineStr">
        <is>
          <t>§4.17</t>
        </is>
      </c>
    </row>
    <row r="20" ht="29.1" customHeight="1" s="3">
      <c r="A20" s="47" t="inlineStr">
        <is>
          <t>0x19</t>
        </is>
      </c>
      <c r="B20" s="47" t="inlineStr">
        <is>
          <t>WiFiDebugMode</t>
        </is>
      </c>
      <c r="C20" s="47">
        <f>'App命令-简单'!C105</f>
        <v/>
      </c>
      <c r="D20" s="47" t="inlineStr">
        <is>
          <t>简单包</t>
        </is>
      </c>
      <c r="E20" s="47" t="inlineStr">
        <is>
          <t>PC Wi-Fi 调试模式控制</t>
        </is>
      </c>
      <c r="F20" s="47" t="inlineStr">
        <is>
          <t>§4.18</t>
        </is>
      </c>
    </row>
    <row r="21" ht="29.1" customHeight="1" s="3">
      <c r="A21" s="48" t="inlineStr">
        <is>
          <t>0x1A</t>
        </is>
      </c>
      <c r="B21" s="48" t="inlineStr">
        <is>
          <t>WiFiAvatarSession</t>
        </is>
      </c>
      <c r="C21" s="48">
        <f>'App命令-简单'!C113</f>
        <v/>
      </c>
      <c r="D21" s="48" t="inlineStr">
        <is>
          <t>简单包</t>
        </is>
      </c>
      <c r="E21" s="48" t="inlineStr">
        <is>
          <t>SoftAP 头像快速传输会话</t>
        </is>
      </c>
      <c r="F21" s="48" t="inlineStr">
        <is>
          <t>§4.20</t>
        </is>
      </c>
    </row>
    <row r="22" ht="29.1" customHeight="1" s="3">
      <c r="A22" s="47" t="inlineStr">
        <is>
          <t>0x1B</t>
        </is>
      </c>
      <c r="B22" s="47" t="inlineStr">
        <is>
          <t>TaskListSnapshotAck</t>
        </is>
      </c>
      <c r="C22" s="47">
        <f>'App命令-复杂'!C70</f>
        <v/>
      </c>
      <c r="D22" s="47" t="inlineStr">
        <is>
          <t>分包（11B 头）</t>
        </is>
      </c>
      <c r="E22" s="47" t="inlineStr">
        <is>
          <t>业务确认 + 完整任务快照</t>
        </is>
      </c>
      <c r="F22" s="47" t="inlineStr">
        <is>
          <t>§4.21</t>
        </is>
      </c>
    </row>
    <row r="23" ht="29.1" customHeight="1" s="3">
      <c r="A23" s="36" t="inlineStr">
        <is>
          <t>0x1C</t>
        </is>
      </c>
      <c r="B23" s="36" t="inlineStr">
        <is>
          <t>ShippingMode</t>
        </is>
      </c>
      <c r="C23" s="36" t="n">
        <v>1</v>
      </c>
      <c r="D23" s="36" t="inlineStr">
        <is>
          <t>简单包</t>
        </is>
      </c>
      <c r="E23" s="36" t="inlineStr">
        <is>
          <t>开启运输模式</t>
        </is>
      </c>
      <c r="F23" s="36" t="inlineStr">
        <is>
          <t>-</t>
        </is>
      </c>
    </row>
    <row r="24" ht="29.1" customHeight="1" s="3">
      <c r="A24" s="47" t="inlineStr">
        <is>
          <t>0x20</t>
        </is>
      </c>
      <c r="B24" s="47" t="inlineStr">
        <is>
          <t>EventLogRequest</t>
        </is>
      </c>
      <c r="C24" s="47" t="n">
        <v>4</v>
      </c>
      <c r="D24" s="47" t="inlineStr">
        <is>
          <t>简单包</t>
        </is>
      </c>
      <c r="E24" s="47" t="inlineStr">
        <is>
          <t>请求指定时间戳之后的事件日志</t>
        </is>
      </c>
      <c r="F24" s="47" t="inlineStr">
        <is>
          <t>§4.13</t>
        </is>
      </c>
    </row>
    <row r="25" ht="29.1" customHeight="1" s="3">
      <c r="A25" s="48" t="inlineStr">
        <is>
          <t>0x22</t>
        </is>
      </c>
      <c r="B25" s="48" t="inlineStr">
        <is>
          <t>AvatarControl</t>
        </is>
      </c>
      <c r="C25" s="48" t="n">
        <v>21</v>
      </c>
      <c r="D25" s="48" t="inlineStr">
        <is>
          <t>简单包</t>
        </is>
      </c>
      <c r="E25" s="48" t="inlineStr">
        <is>
          <t>头像事务控制（固定 21B）</t>
        </is>
      </c>
      <c r="F25" s="48" t="inlineStr">
        <is>
          <t>§4.19</t>
        </is>
      </c>
    </row>
    <row r="26" ht="29.1" customHeight="1" s="3">
      <c r="A26" s="47" t="inlineStr">
        <is>
          <t>0x7E</t>
        </is>
      </c>
      <c r="B26" s="47" t="inlineStr">
        <is>
          <t>SecureData</t>
        </is>
      </c>
      <c r="C26" s="47" t="inlineStr">
        <is>
          <t>48+N（变长）</t>
        </is>
      </c>
      <c r="D26" s="47" t="inlineStr">
        <is>
          <t>简单包 / 分包</t>
        </is>
      </c>
      <c r="E26" s="47" t="inlineStr">
        <is>
          <t>安全业务封装（48+N 字节）</t>
        </is>
      </c>
      <c r="F26" s="47" t="inlineStr">
        <is>
          <t>§3.4</t>
        </is>
      </c>
    </row>
    <row r="27" ht="22.5" customHeight="1" s="3">
      <c r="A27" s="52" t="inlineStr">
        <is>
          <t>0x7F</t>
        </is>
      </c>
      <c r="B27" s="52" t="inlineStr">
        <is>
          <t>SecurityHandshake</t>
        </is>
      </c>
      <c r="C27" s="52" t="inlineStr">
        <is>
          <t>45 / 53（固定）</t>
        </is>
      </c>
      <c r="D27" s="52" t="inlineStr">
        <is>
          <t>简单包</t>
        </is>
      </c>
      <c r="E27" s="52" t="inlineStr">
        <is>
          <t>安全握手（45 / 53 字节）</t>
        </is>
      </c>
      <c r="F27" s="52" t="inlineStr">
        <is>
          <t>§3.3</t>
        </is>
      </c>
    </row>
    <row r="28" ht="22.5" customHeight="1" s="3">
      <c r="A28" s="53" t="inlineStr">
        <is>
          <t>0x25</t>
        </is>
      </c>
      <c r="B28" s="35" t="inlineStr">
        <is>
          <t>OfflineSync</t>
        </is>
      </c>
      <c r="C28" s="35" t="inlineStr">
        <is>
          <t>1 / 5 / 9 / 14 / 33</t>
        </is>
      </c>
      <c r="D28" s="35" t="inlineStr">
        <is>
          <t>简单包</t>
        </is>
      </c>
      <c r="E28" s="35" t="inlineStr">
        <is>
          <t>离线数据事务、操作确认及专注状态裁决（双向）</t>
        </is>
      </c>
      <c r="F28" s="35" t="inlineStr">
        <is>
          <t>OfflineSync页</t>
        </is>
      </c>
      <c r="K28" s="54" t="n"/>
    </row>
    <row r="29" ht="22.5" customHeight="1" s="3">
      <c r="A29" s="55" t="n"/>
      <c r="B29" s="56" t="n"/>
      <c r="C29" s="56" t="n"/>
      <c r="D29" s="56" t="n"/>
      <c r="E29" s="56" t="n"/>
      <c r="F29" s="56" t="n"/>
      <c r="K29" s="54" t="n"/>
    </row>
    <row r="30" ht="24" customHeight="1" s="3">
      <c r="A30" s="74" t="inlineStr">
        <is>
          <t>Device → App 事件（24 个）</t>
        </is>
      </c>
      <c r="B30" s="146" t="n"/>
      <c r="C30" s="146" t="n"/>
      <c r="D30" s="146" t="n"/>
      <c r="E30" s="146" t="n"/>
      <c r="F30" s="147" t="n"/>
    </row>
    <row r="31" ht="21.95" customHeight="1" s="3">
      <c r="A31" s="39" t="inlineStr">
        <is>
          <t>Type</t>
        </is>
      </c>
      <c r="B31" s="39" t="inlineStr">
        <is>
          <t>名称</t>
        </is>
      </c>
      <c r="C31" s="39" t="inlineStr">
        <is>
          <t>Payload 长度</t>
        </is>
      </c>
      <c r="D31" s="39" t="inlineStr">
        <is>
          <t>传输方式</t>
        </is>
      </c>
      <c r="E31" s="39" t="inlineStr">
        <is>
          <t>说明</t>
        </is>
      </c>
      <c r="F31" s="39" t="inlineStr">
        <is>
          <t>章节</t>
        </is>
      </c>
    </row>
    <row r="32" ht="29.1" customHeight="1" s="3">
      <c r="A32" s="47" t="inlineStr">
        <is>
          <t>0x01</t>
        </is>
      </c>
      <c r="B32" s="47" t="inlineStr">
        <is>
          <t>EncoderRotateUp</t>
        </is>
      </c>
      <c r="C32" s="47" t="inlineStr">
        <is>
          <t>0（无 Payload）</t>
        </is>
      </c>
      <c r="D32" s="47" t="inlineStr">
        <is>
          <t>简单事件包</t>
        </is>
      </c>
      <c r="E32" s="47" t="inlineStr">
        <is>
          <t>旋钮向上旋转（顺时针）</t>
        </is>
      </c>
      <c r="F32" s="47" t="inlineStr">
        <is>
          <t>§5.2</t>
        </is>
      </c>
    </row>
    <row r="33" ht="29.1" customHeight="1" s="3">
      <c r="A33" s="48" t="inlineStr">
        <is>
          <t>0x02</t>
        </is>
      </c>
      <c r="B33" s="48" t="inlineStr">
        <is>
          <t>EncoderRotateDown</t>
        </is>
      </c>
      <c r="C33" s="48" t="inlineStr">
        <is>
          <t>0（无 Payload）</t>
        </is>
      </c>
      <c r="D33" s="48" t="inlineStr">
        <is>
          <t>简单事件包</t>
        </is>
      </c>
      <c r="E33" s="48" t="inlineStr">
        <is>
          <t>旋钮向下旋转（逆时针）</t>
        </is>
      </c>
      <c r="F33" s="48" t="inlineStr">
        <is>
          <t>§5.2</t>
        </is>
      </c>
    </row>
    <row r="34" ht="29.1" customHeight="1" s="3">
      <c r="A34" s="47" t="inlineStr">
        <is>
          <t>0x03</t>
        </is>
      </c>
      <c r="B34" s="47" t="inlineStr">
        <is>
          <t>EncoderShortPress</t>
        </is>
      </c>
      <c r="C34" s="47" t="inlineStr">
        <is>
          <t>0（无 Payload）</t>
        </is>
      </c>
      <c r="D34" s="47" t="inlineStr">
        <is>
          <t>简单事件包</t>
        </is>
      </c>
      <c r="E34" s="47" t="inlineStr">
        <is>
          <t>旋钮短按（确认）</t>
        </is>
      </c>
      <c r="F34" s="47" t="inlineStr">
        <is>
          <t>§5.2</t>
        </is>
      </c>
    </row>
    <row r="35" ht="29.1" customHeight="1" s="3">
      <c r="A35" s="48" t="inlineStr">
        <is>
          <t>0x04</t>
        </is>
      </c>
      <c r="B35" s="48" t="inlineStr">
        <is>
          <t>EncoderLongPress</t>
        </is>
      </c>
      <c r="C35" s="48" t="inlineStr">
        <is>
          <t>0（无 Payload）</t>
        </is>
      </c>
      <c r="D35" s="48" t="inlineStr">
        <is>
          <t>简单事件包</t>
        </is>
      </c>
      <c r="E35" s="48" t="inlineStr">
        <is>
          <t>旋钮长按</t>
        </is>
      </c>
      <c r="F35" s="48" t="inlineStr">
        <is>
          <t>§5.2</t>
        </is>
      </c>
    </row>
    <row r="36" ht="29.1" customHeight="1" s="3">
      <c r="A36" s="47" t="inlineStr">
        <is>
          <t>0x05</t>
        </is>
      </c>
      <c r="B36" s="47" t="inlineStr">
        <is>
          <t>PowerShortPress</t>
        </is>
      </c>
      <c r="C36" s="47" t="inlineStr">
        <is>
          <t>0（无 Payload）</t>
        </is>
      </c>
      <c r="D36" s="47" t="inlineStr">
        <is>
          <t>简单事件包</t>
        </is>
      </c>
      <c r="E36" s="47" t="inlineStr">
        <is>
          <t>电源按钮短按</t>
        </is>
      </c>
      <c r="F36" s="47" t="inlineStr">
        <is>
          <t>§5.2</t>
        </is>
      </c>
    </row>
    <row r="37" ht="29.1" customHeight="1" s="3">
      <c r="A37" s="48" t="inlineStr">
        <is>
          <t>0x06</t>
        </is>
      </c>
      <c r="B37" s="48" t="inlineStr">
        <is>
          <t>PowerLongPress</t>
        </is>
      </c>
      <c r="C37" s="48" t="inlineStr">
        <is>
          <t>0（无 Payload）</t>
        </is>
      </c>
      <c r="D37" s="48" t="inlineStr">
        <is>
          <t>简单事件包</t>
        </is>
      </c>
      <c r="E37" s="48" t="inlineStr">
        <is>
          <t>电源按钮长按</t>
        </is>
      </c>
      <c r="F37" s="48" t="inlineStr">
        <is>
          <t>§5.2</t>
        </is>
      </c>
    </row>
    <row r="38" ht="29.1" customHeight="1" s="3">
      <c r="A38" s="35" t="inlineStr">
        <is>
          <t>0x10</t>
        </is>
      </c>
      <c r="B38" s="35" t="inlineStr">
        <is>
          <t>EnterTaskIn</t>
        </is>
      </c>
      <c r="C38" s="35" t="inlineStr">
        <is>
          <t>18+N（v2）</t>
        </is>
      </c>
      <c r="D38" s="35" t="inlineStr">
        <is>
          <t>简单事件包</t>
        </is>
      </c>
      <c r="E38" s="35" t="inlineStr">
        <is>
          <t>进入专注；携带操作 ID、专注会话 ID 与开始时间</t>
        </is>
      </c>
      <c r="F38" s="35" t="inlineStr">
        <is>
          <t>§5.3 / 专注重连页</t>
        </is>
      </c>
    </row>
    <row r="39" ht="29.1" customHeight="1" s="3">
      <c r="A39" s="36" t="inlineStr">
        <is>
          <t>0x11</t>
        </is>
      </c>
      <c r="B39" s="36" t="inlineStr">
        <is>
          <t>CompleteTask</t>
        </is>
      </c>
      <c r="C39" s="36" t="inlineStr">
        <is>
          <t>22+N（v2）</t>
        </is>
      </c>
      <c r="D39" s="36" t="inlineStr">
        <is>
          <t>简单事件包</t>
        </is>
      </c>
      <c r="E39" s="36" t="inlineStr">
        <is>
          <t>完成任务并结束指定专注会话</t>
        </is>
      </c>
      <c r="F39" s="36" t="inlineStr">
        <is>
          <t>§5.4 / 专注重连页</t>
        </is>
      </c>
    </row>
    <row r="40" ht="29.1" customHeight="1" s="3">
      <c r="A40" s="35" t="inlineStr">
        <is>
          <t>0x12</t>
        </is>
      </c>
      <c r="B40" s="35" t="inlineStr">
        <is>
          <t>SkipTask</t>
        </is>
      </c>
      <c r="C40" s="35" t="inlineStr">
        <is>
          <t>22+N（v2）</t>
        </is>
      </c>
      <c r="D40" s="35" t="inlineStr">
        <is>
          <t>简单事件包</t>
        </is>
      </c>
      <c r="E40" s="35" t="inlineStr">
        <is>
          <t>跳过任务并结束指定专注会话</t>
        </is>
      </c>
      <c r="F40" s="35" t="inlineStr">
        <is>
          <t>§5.5 / 专注重连页</t>
        </is>
      </c>
    </row>
    <row r="41" ht="29.1" customHeight="1" s="3">
      <c r="A41" s="48" t="inlineStr">
        <is>
          <t>0x13</t>
        </is>
      </c>
      <c r="B41" s="48" t="inlineStr">
        <is>
          <t>SelectedTaskChanged</t>
        </is>
      </c>
      <c r="C41" s="48">
        <f>'设备事件-输入'!C30</f>
        <v/>
      </c>
      <c r="D41" s="48" t="inlineStr">
        <is>
          <t>简单事件包</t>
        </is>
      </c>
      <c r="E41" s="48" t="inlineStr">
        <is>
          <t>切换选中任务</t>
        </is>
      </c>
      <c r="F41" s="48" t="inlineStr">
        <is>
          <t>§5.6</t>
        </is>
      </c>
    </row>
    <row r="42" ht="29.1" customHeight="1" s="3">
      <c r="A42" s="47" t="inlineStr">
        <is>
          <t>0x14</t>
        </is>
      </c>
      <c r="B42" s="47" t="inlineStr">
        <is>
          <t>WheelSelect</t>
        </is>
      </c>
      <c r="C42" s="47">
        <f>'设备事件-输入'!C38</f>
        <v/>
      </c>
      <c r="D42" s="47" t="inlineStr">
        <is>
          <t>简单事件包</t>
        </is>
      </c>
      <c r="E42" s="47" t="inlineStr">
        <is>
          <t>旋钮按下选择确认</t>
        </is>
      </c>
      <c r="F42" s="47" t="inlineStr">
        <is>
          <t>§5.10</t>
        </is>
      </c>
    </row>
    <row r="43" ht="29.1" customHeight="1" s="3">
      <c r="A43" s="48" t="inlineStr">
        <is>
          <t>0x15</t>
        </is>
      </c>
      <c r="B43" s="48" t="inlineStr">
        <is>
          <t>ViewEventDetail</t>
        </is>
      </c>
      <c r="C43" s="48">
        <f>'设备事件-输入'!C46</f>
        <v/>
      </c>
      <c r="D43" s="48" t="inlineStr">
        <is>
          <t>简单事件包</t>
        </is>
      </c>
      <c r="E43" s="48" t="inlineStr">
        <is>
          <t>查看日历事件详情</t>
        </is>
      </c>
      <c r="F43" s="48" t="inlineStr">
        <is>
          <t>§5.11</t>
        </is>
      </c>
    </row>
    <row r="44" ht="29.1" customHeight="1" s="3">
      <c r="A44" s="47" t="inlineStr">
        <is>
          <t>0x16</t>
        </is>
      </c>
      <c r="B44" s="47" t="inlineStr">
        <is>
          <t>ReminderAcknowledged</t>
        </is>
      </c>
      <c r="C44" s="47">
        <f>'设备事件-输入'!C53</f>
        <v/>
      </c>
      <c r="D44" s="47" t="inlineStr">
        <is>
          <t>简单事件包</t>
        </is>
      </c>
      <c r="E44" s="47" t="inlineStr">
        <is>
          <t>确认智能提醒</t>
        </is>
      </c>
      <c r="F44" s="47" t="inlineStr">
        <is>
          <t>§5.12</t>
        </is>
      </c>
    </row>
    <row r="45" ht="29.1" customHeight="1" s="3">
      <c r="A45" s="48" t="inlineStr">
        <is>
          <t>0x17</t>
        </is>
      </c>
      <c r="B45" s="48" t="inlineStr">
        <is>
          <t>ReminderDismissed</t>
        </is>
      </c>
      <c r="C45" s="48">
        <f>'设备事件-输入'!C60</f>
        <v/>
      </c>
      <c r="D45" s="48" t="inlineStr">
        <is>
          <t>简单事件包</t>
        </is>
      </c>
      <c r="E45" s="48" t="inlineStr">
        <is>
          <t>提醒超时自动消失</t>
        </is>
      </c>
      <c r="F45" s="48" t="inlineStr">
        <is>
          <t>§5.13</t>
        </is>
      </c>
    </row>
    <row r="46" ht="29.1" customHeight="1" s="3">
      <c r="A46" s="47" t="inlineStr">
        <is>
          <t>0x18</t>
        </is>
      </c>
      <c r="B46" s="47" t="inlineStr">
        <is>
          <t>OTAResult</t>
        </is>
      </c>
      <c r="C46" s="47">
        <f>'设备事件-动作与应答'!C30</f>
        <v/>
      </c>
      <c r="D46" s="47" t="inlineStr">
        <is>
          <t>简单事件包</t>
        </is>
      </c>
      <c r="E46" s="47" t="inlineStr">
        <is>
          <t>OTA 升级重启应答</t>
        </is>
      </c>
      <c r="F46" s="47" t="inlineStr">
        <is>
          <t>§5.17</t>
        </is>
      </c>
    </row>
    <row r="47" ht="29.1" customHeight="1" s="3">
      <c r="A47" s="48" t="inlineStr">
        <is>
          <t>0x19</t>
        </is>
      </c>
      <c r="B47" s="48" t="inlineStr">
        <is>
          <t>WiFiDebugResult</t>
        </is>
      </c>
      <c r="C47" s="48">
        <f>'设备事件-动作与应答'!C38</f>
        <v/>
      </c>
      <c r="D47" s="48" t="inlineStr">
        <is>
          <t>简单事件包</t>
        </is>
      </c>
      <c r="E47" s="48" t="inlineStr">
        <is>
          <t>Wi-Fi 调试模式实时应答</t>
        </is>
      </c>
      <c r="F47" s="48" t="inlineStr">
        <is>
          <t>§5.18</t>
        </is>
      </c>
    </row>
    <row r="48" ht="29.1" customHeight="1" s="3">
      <c r="A48" s="47" t="inlineStr">
        <is>
          <t>0x1A</t>
        </is>
      </c>
      <c r="B48" s="47" t="inlineStr">
        <is>
          <t>WiFiAvatarSessionResult</t>
        </is>
      </c>
      <c r="C48" s="47">
        <f>'设备事件-动作与应答'!C54</f>
        <v/>
      </c>
      <c r="D48" s="47" t="inlineStr">
        <is>
          <t>简单事件包</t>
        </is>
      </c>
      <c r="E48" s="47" t="inlineStr">
        <is>
          <t>SoftAP 会话实时应答</t>
        </is>
      </c>
      <c r="F48" s="47" t="inlineStr">
        <is>
          <t>§5.20</t>
        </is>
      </c>
    </row>
    <row r="49" ht="29.1" customHeight="1" s="3">
      <c r="A49" s="48" t="inlineStr">
        <is>
          <t>0x20</t>
        </is>
      </c>
      <c r="B49" s="48" t="inlineStr">
        <is>
          <t>RequestRefresh</t>
        </is>
      </c>
      <c r="C49" s="48">
        <f>'设备事件-输入'!C68</f>
        <v/>
      </c>
      <c r="D49" s="48" t="inlineStr">
        <is>
          <t>简单事件包</t>
        </is>
      </c>
      <c r="E49" s="48" t="inlineStr">
        <is>
          <t>请求数据刷新（v2.9）</t>
        </is>
      </c>
      <c r="F49" s="48" t="inlineStr">
        <is>
          <t>§5.7</t>
        </is>
      </c>
    </row>
    <row r="50" ht="29.1" customHeight="1" s="3">
      <c r="A50" s="47" t="inlineStr">
        <is>
          <t>0x21</t>
        </is>
      </c>
      <c r="B50" s="47" t="inlineStr">
        <is>
          <t>EventLogBatch</t>
        </is>
      </c>
      <c r="C50" s="47">
        <f>'设备事件-动作与应答'!C62</f>
        <v/>
      </c>
      <c r="D50" s="47" t="inlineStr">
        <is>
          <t>简单事件包</t>
        </is>
      </c>
      <c r="E50" s="47" t="inlineStr">
        <is>
          <t>批量回传事件日志</t>
        </is>
      </c>
      <c r="F50" s="47" t="inlineStr">
        <is>
          <t>§5.15</t>
        </is>
      </c>
    </row>
    <row r="51" ht="29.1" customHeight="1" s="3">
      <c r="A51" s="48" t="inlineStr">
        <is>
          <t>0x22</t>
        </is>
      </c>
      <c r="B51" s="48" t="inlineStr">
        <is>
          <t>AvatarControlResult</t>
        </is>
      </c>
      <c r="C51" s="48">
        <f>'设备事件-动作与应答'!C75</f>
        <v/>
      </c>
      <c r="D51" s="48" t="inlineStr">
        <is>
          <t>简单事件包</t>
        </is>
      </c>
      <c r="E51" s="48" t="inlineStr">
        <is>
          <t>头像事务实时结果（31B）</t>
        </is>
      </c>
      <c r="F51" s="48" t="inlineStr">
        <is>
          <t>§5.19</t>
        </is>
      </c>
    </row>
    <row r="52" ht="29.1" customHeight="1" s="3">
      <c r="A52" s="47" t="inlineStr">
        <is>
          <t>0x30</t>
        </is>
      </c>
      <c r="B52" s="47" t="inlineStr">
        <is>
          <t>DeviceWake</t>
        </is>
      </c>
      <c r="C52" s="47">
        <f>'设备事件-输入'!C82</f>
        <v/>
      </c>
      <c r="D52" s="47" t="inlineStr">
        <is>
          <t>简单事件包</t>
        </is>
      </c>
      <c r="E52" s="47" t="inlineStr">
        <is>
          <t>设备上线通知（29B）</t>
        </is>
      </c>
      <c r="F52" s="47" t="inlineStr">
        <is>
          <t>§5.8</t>
        </is>
      </c>
    </row>
    <row r="53" ht="29.1" customHeight="1" s="3">
      <c r="A53" s="48" t="inlineStr">
        <is>
          <t>0x31</t>
        </is>
      </c>
      <c r="B53" s="48" t="inlineStr">
        <is>
          <t>DeviceSleep</t>
        </is>
      </c>
      <c r="C53" s="48" t="inlineStr">
        <is>
          <t>0（无 Payload）</t>
        </is>
      </c>
      <c r="D53" s="48" t="inlineStr">
        <is>
          <t>简单事件包</t>
        </is>
      </c>
      <c r="E53" s="48" t="inlineStr">
        <is>
          <t>设备进入睡眠</t>
        </is>
      </c>
      <c r="F53" s="48" t="inlineStr">
        <is>
          <t>§5.9</t>
        </is>
      </c>
    </row>
    <row r="54" ht="29.1" customHeight="1" s="3">
      <c r="A54" s="47" t="inlineStr">
        <is>
          <t>0x40</t>
        </is>
      </c>
      <c r="B54" s="47" t="inlineStr">
        <is>
          <t>LowBattery</t>
        </is>
      </c>
      <c r="C54" s="47">
        <f>'设备事件-输入'!C96</f>
        <v/>
      </c>
      <c r="D54" s="47" t="inlineStr">
        <is>
          <t>简单事件包</t>
        </is>
      </c>
      <c r="E54" s="47" t="inlineStr">
        <is>
          <t>设备电量低通知</t>
        </is>
      </c>
      <c r="F54" s="47" t="inlineStr">
        <is>
          <t>§5.14</t>
        </is>
      </c>
    </row>
    <row r="55" ht="22.5" customHeight="1" s="3">
      <c r="A55" s="57" t="inlineStr">
        <is>
          <t>0x25</t>
        </is>
      </c>
      <c r="B55" s="58" t="inlineStr">
        <is>
          <t>OfflineSync</t>
        </is>
      </c>
      <c r="C55" s="58" t="inlineStr">
        <is>
          <t>7 / 20 / 37+N / 变长</t>
        </is>
      </c>
      <c r="D55" s="58" t="inlineStr">
        <is>
          <t>简单事件包</t>
        </is>
      </c>
      <c r="E55" s="58" t="inlineStr">
        <is>
          <t>同步状态、专注快照、处理结果与离线操作批量补报</t>
        </is>
      </c>
      <c r="F55" s="58" t="inlineStr">
        <is>
          <t>OfflineSync页</t>
        </is>
      </c>
    </row>
    <row r="56"/>
    <row r="57" ht="36" customHeight="1" s="3">
      <c r="A57" s="144" t="inlineStr">
        <is>
          <t>说明：Payload 长度列引用各详解页的公式；secure 模式下业务帧封装进 0x7E SecureEnvelope。</t>
        </is>
      </c>
    </row>
  </sheetData>
  <mergeCells count="5">
    <mergeCell ref="A2:F2"/>
    <mergeCell ref="A1:F1"/>
    <mergeCell ref="A4:F4"/>
    <mergeCell ref="A30:F30"/>
    <mergeCell ref="A57:F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topLeftCell="A37" workbookViewId="0">
      <selection activeCell="I30" sqref="A1:XFD1048576"/>
    </sheetView>
  </sheetViews>
  <sheetFormatPr baseColWidth="8" defaultRowHeight="14.25"/>
  <cols>
    <col width="10" customWidth="1" style="33" min="1" max="1"/>
    <col width="26" customWidth="1" style="33" min="2" max="2"/>
    <col width="23" customWidth="1" style="33" min="3" max="3"/>
    <col width="13" customWidth="1" style="33" min="4" max="4"/>
    <col width="34" customWidth="1" style="33" min="5" max="5"/>
    <col width="72" customWidth="1" style="33" min="6" max="6"/>
    <col width="9" customWidth="1" style="33" min="7" max="16384"/>
  </cols>
  <sheetData>
    <row r="1" ht="33.95" customHeight="1" s="3">
      <c r="A1" s="71" t="inlineStr">
        <is>
          <t>App → Device 命令详解（一）</t>
        </is>
      </c>
      <c r="B1" s="61" t="n"/>
      <c r="C1" s="61" t="n"/>
      <c r="D1" s="61" t="n"/>
      <c r="E1" s="61" t="n"/>
      <c r="F1" s="143" t="n"/>
    </row>
    <row r="2" ht="21.95" customHeight="1" s="3">
      <c r="A2" s="87" t="inlineStr">
        <is>
          <t>单位：字节（Byte）；1+N = 1 字节长度前缀 + N 字节内容；… 表示偏移随变长字段累积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85" t="inlineStr">
        <is>
          <t>§4.2  PetStatus（0x01）</t>
        </is>
      </c>
      <c r="B4" s="61" t="n"/>
      <c r="C4" s="61" t="n"/>
      <c r="D4" s="61" t="n"/>
      <c r="E4" s="61" t="n"/>
      <c r="F4" s="143" t="n"/>
    </row>
    <row r="5" ht="36" customHeight="1" s="3">
      <c r="A5" s="76" t="inlineStr">
        <is>
          <t>方向：App → Device（FFE1 Write）｜传输：简单包｜用途：宠物状态信息；明文（secure 模式经 0x7E 封装）</t>
        </is>
      </c>
      <c r="B5" s="61" t="n"/>
      <c r="C5" s="61" t="n"/>
      <c r="D5" s="61" t="n"/>
      <c r="E5" s="61" t="n"/>
      <c r="F5" s="143" t="n"/>
    </row>
    <row r="6" ht="21.95" customHeight="1" s="3">
      <c r="A6" s="39" t="inlineStr">
        <is>
          <t>偏移(字节)</t>
        </is>
      </c>
      <c r="B6" s="39" t="inlineStr">
        <is>
          <t>字段</t>
        </is>
      </c>
      <c r="C6" s="39" t="inlineStr">
        <is>
          <t>大小(字节)</t>
        </is>
      </c>
      <c r="D6" s="39" t="inlineStr">
        <is>
          <t>上限(字节)</t>
        </is>
      </c>
      <c r="E6" s="39" t="inlineStr">
        <is>
          <t>取值/枚举</t>
        </is>
      </c>
      <c r="F6" s="39" t="inlineStr">
        <is>
          <t>说明</t>
        </is>
      </c>
    </row>
    <row r="7" ht="29.1" customHeight="1" s="3">
      <c r="A7" s="47" t="n">
        <v>0</v>
      </c>
      <c r="B7" s="47" t="inlineStr">
        <is>
          <t>Name</t>
        </is>
      </c>
      <c r="C7" s="47" t="inlineStr">
        <is>
          <t>1+N</t>
        </is>
      </c>
      <c r="D7" s="47" t="n">
        <v>20</v>
      </c>
      <c r="E7" s="47" t="inlineStr">
        <is>
          <t>长度前缀字符串</t>
        </is>
      </c>
      <c r="F7" s="47" t="inlineStr">
        <is>
          <t>显示名（UTF-8 / 可打印 ASCII）</t>
        </is>
      </c>
    </row>
    <row r="8" ht="29.1" customHeight="1" s="3">
      <c r="A8" s="48" t="inlineStr">
        <is>
          <t>N+1</t>
        </is>
      </c>
      <c r="B8" s="48" t="inlineStr">
        <is>
          <t>Mood</t>
        </is>
      </c>
      <c r="C8" s="48" t="n">
        <v>1</v>
      </c>
      <c r="D8" s="48" t="inlineStr">
        <is>
          <t>-</t>
        </is>
      </c>
      <c r="E8" s="48" t="inlineStr">
        <is>
          <t>H / E / F / S / M</t>
        </is>
      </c>
      <c r="F8" s="48" t="inlineStr">
        <is>
          <t>心情首字母（ASCII），见「枚举与状态码」页；固件当前阶段可忽略该字节</t>
        </is>
      </c>
    </row>
    <row r="9" ht="29.1" customHeight="1" s="3">
      <c r="A9" s="47" t="inlineStr">
        <is>
          <t>N+2</t>
        </is>
      </c>
      <c r="B9" s="47" t="inlineStr">
        <is>
          <t>CharacterId</t>
        </is>
      </c>
      <c r="C9" s="47" t="inlineStr">
        <is>
          <t>1+N</t>
        </is>
      </c>
      <c r="D9" s="47" t="n">
        <v>10</v>
      </c>
      <c r="E9" s="47" t="inlineStr">
        <is>
          <t>joy / silas / nova</t>
        </is>
      </c>
      <c r="F9" s="47" t="inlineStr">
        <is>
          <t>伴侣 IP，恒为最近一次内置选择</t>
        </is>
      </c>
    </row>
    <row r="10" ht="29.1" customHeight="1" s="3">
      <c r="A10" s="48" t="inlineStr">
        <is>
          <t>...</t>
        </is>
      </c>
      <c r="B10" s="48" t="inlineStr">
        <is>
          <t>CustomActive</t>
        </is>
      </c>
      <c r="C10" s="48" t="n">
        <v>1</v>
      </c>
      <c r="D10" s="48" t="inlineStr">
        <is>
          <t>-</t>
        </is>
      </c>
      <c r="E10" s="48" t="inlineStr">
        <is>
          <t>0x00 / 0x01</t>
        </is>
      </c>
      <c r="F10" s="48" t="inlineStr">
        <is>
          <t>0x01=自定义形象激活（除专注页显示已持久化的 0x15 图）；0x00=按 CharacterId 渲染内置；固件读完 CharacterId 后必须再读此字节</t>
        </is>
      </c>
    </row>
    <row r="11" ht="29.1" customHeight="1" s="3">
      <c r="A11" s="77" t="inlineStr">
        <is>
          <t>Payload 总长（字节）</t>
        </is>
      </c>
      <c r="B11" s="143" t="n"/>
      <c r="C11" s="49" t="inlineStr">
        <is>
          <t>变长</t>
        </is>
      </c>
      <c r="D11" s="78" t="inlineStr">
        <is>
          <t>可变：Name(1+N) + Mood(1) + CharacterId(1+N) + CustomActive(1)，N 由实际字符串长度决定</t>
        </is>
      </c>
      <c r="E11" s="61" t="n"/>
      <c r="F11" s="143" t="n"/>
    </row>
    <row r="12" ht="29.1" customHeight="1" s="3">
      <c r="A12" s="77" t="inlineStr">
        <is>
          <t>完整帧长（字节）</t>
        </is>
      </c>
      <c r="B12" s="143" t="n"/>
      <c r="C12" s="49" t="inlineStr">
        <is>
          <t>3 + Payload（变长）</t>
        </is>
      </c>
      <c r="D12" s="78" t="inlineStr">
        <is>
          <t>简单包：Type(1B) + Length(2B, BE) + Payload</t>
        </is>
      </c>
      <c r="E12" s="61" t="n"/>
      <c r="F12" s="143" t="n"/>
    </row>
    <row r="13"/>
    <row r="14" ht="24" customHeight="1" s="3">
      <c r="A14" s="85" t="inlineStr">
        <is>
          <t>§4.3  TaskList（0x02）</t>
        </is>
      </c>
      <c r="B14" s="61" t="n"/>
      <c r="C14" s="61" t="n"/>
      <c r="D14" s="61" t="n"/>
      <c r="E14" s="61" t="n"/>
      <c r="F14" s="143" t="n"/>
    </row>
    <row r="15" ht="51" customHeight="1" s="3">
      <c r="A15" s="76" t="inlineStr">
        <is>
          <t>方向：App → Device（FFE1 Write）｜传输：简单包｜用途：今日任务列表（最多 10 个任务）｜Legacy：不含 TaskId / OperationID，不能作为 v2.9 Overview 的数据源；明文（secure 模式经 0x7E 封装）</t>
        </is>
      </c>
      <c r="B15" s="61" t="n"/>
      <c r="C15" s="61" t="n"/>
      <c r="D15" s="61" t="n"/>
      <c r="E15" s="61" t="n"/>
      <c r="F15" s="143" t="n"/>
    </row>
    <row r="16" ht="21.95" customHeight="1" s="3">
      <c r="A16" s="39" t="inlineStr">
        <is>
          <t>偏移(字节)</t>
        </is>
      </c>
      <c r="B16" s="39" t="inlineStr">
        <is>
          <t>字段</t>
        </is>
      </c>
      <c r="C16" s="39" t="inlineStr">
        <is>
          <t>大小(字节)</t>
        </is>
      </c>
      <c r="D16" s="39" t="inlineStr">
        <is>
          <t>上限(字节)</t>
        </is>
      </c>
      <c r="E16" s="39" t="inlineStr">
        <is>
          <t>取值/枚举</t>
        </is>
      </c>
      <c r="F16" s="39" t="inlineStr">
        <is>
          <t>说明</t>
        </is>
      </c>
    </row>
    <row r="17" ht="29.1" customHeight="1" s="3">
      <c r="A17" s="47" t="n">
        <v>0</v>
      </c>
      <c r="B17" s="47" t="inlineStr">
        <is>
          <t>TaskCount</t>
        </is>
      </c>
      <c r="C17" s="47" t="n">
        <v>1</v>
      </c>
      <c r="D17" s="47" t="inlineStr">
        <is>
          <t>-</t>
        </is>
      </c>
      <c r="E17" s="47" t="inlineStr">
        <is>
          <t>0–10</t>
        </is>
      </c>
      <c r="F17" s="47" t="inlineStr">
        <is>
          <t>任务数量</t>
        </is>
      </c>
    </row>
    <row r="18" ht="29.1" customHeight="1" s="3">
      <c r="A18" s="48" t="inlineStr">
        <is>
          <t>1+</t>
        </is>
      </c>
      <c r="B18" s="48" t="inlineStr">
        <is>
          <t>Tasks[]</t>
        </is>
      </c>
      <c r="C18" s="48" t="inlineStr">
        <is>
          <t>变长</t>
        </is>
      </c>
      <c r="D18" s="48" t="inlineStr">
        <is>
          <t>-</t>
        </is>
      </c>
      <c r="E18" s="48" t="inlineStr">
        <is>
          <t>见「子结构与记录」页</t>
        </is>
      </c>
      <c r="F18" s="36" t="inlineStr">
        <is>
          <t>任务条目数组；每条 =TaskIdLength(1) + TaskId(N1, N1&lt;=36) +
TitleLength(1) + Title(N2≤30) + IsCompleted(1)</t>
        </is>
      </c>
    </row>
    <row r="19" ht="29.1" customHeight="1" s="3">
      <c r="A19" s="77" t="inlineStr">
        <is>
          <t>Payload 总长（字节）</t>
        </is>
      </c>
      <c r="B19" s="143" t="n"/>
      <c r="C19" s="49" t="inlineStr">
        <is>
          <t>变长</t>
        </is>
      </c>
      <c r="D19" s="86" t="inlineStr">
        <is>
          <t>可变：1 + Σ(1 + N1 + 1 + N2 + 1（N1≤36，N2≤30）)； N1为TaskId，N2为Title</t>
        </is>
      </c>
      <c r="E19" s="61" t="n"/>
      <c r="F19" s="143" t="n"/>
    </row>
    <row r="20" ht="29.1" customHeight="1" s="3">
      <c r="A20" s="77" t="inlineStr">
        <is>
          <t>完整帧长（字节）</t>
        </is>
      </c>
      <c r="B20" s="143" t="n"/>
      <c r="C20" s="49" t="inlineStr">
        <is>
          <t>3 + Payload（变长）</t>
        </is>
      </c>
      <c r="D20" s="78" t="inlineStr">
        <is>
          <t>简单包：Type(1B) + Length(2B, BE) + Payload</t>
        </is>
      </c>
      <c r="E20" s="61" t="n"/>
      <c r="F20" s="143" t="n"/>
    </row>
    <row r="21"/>
    <row r="22" ht="30" customHeight="1" s="3">
      <c r="A22" s="83" t="inlineStr">
        <is>
          <t>§4.4  Schedule（0x03，v2 / Ver 1.3.0）</t>
        </is>
      </c>
      <c r="B22" s="61" t="n"/>
      <c r="C22" s="61" t="n"/>
      <c r="D22" s="61" t="n"/>
      <c r="E22" s="61" t="n"/>
      <c r="F22" s="143" t="n"/>
    </row>
    <row r="23" ht="39.95" customHeight="1" s="3">
      <c r="A23" s="84" t="inlineStr">
        <is>
          <t>方向：App → Device（FFE1 Write）｜传输：简单包或现有 11B 头分包｜用途：完整日程快照（最多 8 个事件）｜旧版 EventCount + Title + StartTime 格式严格拒绝；明文（secure 模式经 0x7E 封装）</t>
        </is>
      </c>
      <c r="B23" s="61" t="n"/>
      <c r="C23" s="61" t="n"/>
      <c r="D23" s="61" t="n"/>
      <c r="E23" s="61" t="n"/>
      <c r="F23" s="143" t="n"/>
    </row>
    <row r="24" ht="21.95" customHeight="1" s="3">
      <c r="A24" s="39" t="inlineStr">
        <is>
          <t>偏移(字节)</t>
        </is>
      </c>
      <c r="B24" s="39" t="inlineStr">
        <is>
          <t>字段</t>
        </is>
      </c>
      <c r="C24" s="39" t="inlineStr">
        <is>
          <t>大小(字节)</t>
        </is>
      </c>
      <c r="D24" s="39" t="inlineStr">
        <is>
          <t>上限(字节)</t>
        </is>
      </c>
      <c r="E24" s="39" t="inlineStr">
        <is>
          <t>取值/枚举</t>
        </is>
      </c>
      <c r="F24" s="39" t="inlineStr">
        <is>
          <t>说明</t>
        </is>
      </c>
    </row>
    <row r="25" ht="45.95" customHeight="1" s="3">
      <c r="A25" s="35" t="n">
        <v>0</v>
      </c>
      <c r="B25" s="35" t="inlineStr">
        <is>
          <t>SubVersion</t>
        </is>
      </c>
      <c r="C25" s="35" t="n">
        <v>1</v>
      </c>
      <c r="D25" s="35" t="n">
        <v>1</v>
      </c>
      <c r="E25" s="35" t="inlineStr">
        <is>
          <t>固定 0x02</t>
        </is>
      </c>
      <c r="F25" s="35" t="inlineStr">
        <is>
          <t>Schedule v2 子版本；缺失或不是 0x02 时拒绝整包</t>
        </is>
      </c>
    </row>
    <row r="26" ht="45.95" customHeight="1" s="3">
      <c r="A26" s="36" t="n">
        <v>1</v>
      </c>
      <c r="B26" s="36" t="inlineStr">
        <is>
          <t>Year + Month + Day + EventCount</t>
        </is>
      </c>
      <c r="C26" s="36" t="n">
        <v>4</v>
      </c>
      <c r="D26" s="36" t="inlineStr">
        <is>
          <t>1 / 1 / 1 / 1</t>
        </is>
      </c>
      <c r="E26" s="36" t="inlineStr">
        <is>
          <t>Year=0–99；Month=1–12；Day=有效日期；EventCount=0–8</t>
        </is>
      </c>
      <c r="F26" s="36" t="inlineStr">
        <is>
          <t>Year 保存公历年份减 2000；日期是本次完整日程快照的归属日</t>
        </is>
      </c>
    </row>
    <row r="27" ht="63.95" customHeight="1" s="3">
      <c r="A27" s="42" t="inlineStr">
        <is>
          <t>5+</t>
        </is>
      </c>
      <c r="B27" s="42" t="inlineStr">
        <is>
          <t>Events[]</t>
        </is>
      </c>
      <c r="C27" s="40" t="inlineStr">
        <is>
          <t>变长</t>
        </is>
      </c>
      <c r="D27" s="43" t="inlineStr">
        <is>
          <t>Time/EndTime=0 或 5；Title≤40；Description≤120；SupportText≤120</t>
        </is>
      </c>
      <c r="E27" s="43" t="inlineStr">
        <is>
          <t>见「子结构与记录」及「Schedule-1.3」</t>
        </is>
      </c>
      <c r="F27" s="43" t="inlineStr">
        <is>
          <t>每条依次为 Time + Title + Description + Category + EndTime + SupportText；Description 必须非空，Category=0x00–0x06</t>
        </is>
      </c>
    </row>
    <row r="28" ht="45.95" customHeight="1" s="3">
      <c r="A28" s="79" t="inlineStr">
        <is>
          <t>Payload 总长（字节）</t>
        </is>
      </c>
      <c r="B28" s="148" t="n"/>
      <c r="C28" s="50" t="inlineStr">
        <is>
          <t>变长</t>
        </is>
      </c>
      <c r="D28" s="80" t="inlineStr">
        <is>
          <t>5 + Σ(6 + T + N + D + E + S)；T/E 为时间字节数，N/D/S 为标题、描述、辅助文案字节数</t>
        </is>
      </c>
      <c r="E28" s="149" t="n"/>
      <c r="F28" s="148" t="n"/>
    </row>
    <row r="29" ht="51.95" customHeight="1" s="3">
      <c r="A29" s="81" t="inlineStr">
        <is>
          <t>完整帧长（字节）</t>
        </is>
      </c>
      <c r="B29" s="150" t="n"/>
      <c r="C29" s="82" t="inlineStr">
        <is>
          <t>简单包：3 + Payload；分包：每片 11 + 本片 Payload</t>
        </is>
      </c>
      <c r="D29" s="82" t="inlineStr">
        <is>
          <t>完整 Schedule Payload 可直接用简单包发送，或按现有 11B 头分包；设备重组完成后统一校验并原子应用</t>
        </is>
      </c>
      <c r="E29" s="151" t="n"/>
      <c r="F29" s="150" t="n"/>
    </row>
    <row r="30" ht="24" customHeight="1" s="3">
      <c r="A30" s="51" t="n"/>
      <c r="B30" s="45" t="n"/>
      <c r="C30" s="46" t="n"/>
      <c r="D30" s="46" t="n"/>
      <c r="E30" s="46" t="n"/>
      <c r="F30" s="46" t="n"/>
    </row>
    <row r="31" ht="24" customHeight="1" s="3">
      <c r="A31" s="75" t="inlineStr">
        <is>
          <t>§4.5  Weather（0x04）</t>
        </is>
      </c>
      <c r="B31" s="146" t="n"/>
      <c r="C31" s="146" t="n"/>
      <c r="D31" s="146" t="n"/>
      <c r="E31" s="146" t="n"/>
      <c r="F31" s="147" t="n"/>
    </row>
    <row r="32" ht="36" customHeight="1" s="3">
      <c r="A32" s="76" t="inlineStr">
        <is>
          <t>方向：App → Device（FFE1 Write）｜传输：简单包｜用途：当前天气信息｜v2.5.9 起含 HighTemp / LowTemp，固件必须读到 LowTemp；明文（secure 模式经 0x7E 封装）</t>
        </is>
      </c>
      <c r="B32" s="61" t="n"/>
      <c r="C32" s="61" t="n"/>
      <c r="D32" s="61" t="n"/>
      <c r="E32" s="61" t="n"/>
      <c r="F32" s="143" t="n"/>
    </row>
    <row r="33" ht="21.95" customHeight="1" s="3">
      <c r="A33" s="39" t="inlineStr">
        <is>
          <t>偏移(字节)</t>
        </is>
      </c>
      <c r="B33" s="39" t="inlineStr">
        <is>
          <t>字段</t>
        </is>
      </c>
      <c r="C33" s="39" t="inlineStr">
        <is>
          <t>大小(字节)</t>
        </is>
      </c>
      <c r="D33" s="39" t="inlineStr">
        <is>
          <t>上限(字节)</t>
        </is>
      </c>
      <c r="E33" s="39" t="inlineStr">
        <is>
          <t>取值/枚举</t>
        </is>
      </c>
      <c r="F33" s="39" t="inlineStr">
        <is>
          <t>说明</t>
        </is>
      </c>
    </row>
    <row r="34" ht="29.1" customHeight="1" s="3">
      <c r="A34" s="47" t="n">
        <v>0</v>
      </c>
      <c r="B34" s="47" t="inlineStr">
        <is>
          <t>Temperature</t>
        </is>
      </c>
      <c r="C34" s="47" t="n">
        <v>1</v>
      </c>
      <c r="D34" s="47" t="inlineStr">
        <is>
          <t>-</t>
        </is>
      </c>
      <c r="E34" s="47" t="inlineStr">
        <is>
          <t>int8（℃）</t>
        </is>
      </c>
      <c r="F34" s="47" t="inlineStr">
        <is>
          <t>当前温度</t>
        </is>
      </c>
    </row>
    <row r="35" ht="29.1" customHeight="1" s="3">
      <c r="A35" s="48" t="n">
        <v>1</v>
      </c>
      <c r="B35" s="48" t="inlineStr">
        <is>
          <t>Condition</t>
        </is>
      </c>
      <c r="C35" s="48" t="inlineStr">
        <is>
          <t>1+N</t>
        </is>
      </c>
      <c r="D35" s="48" t="n">
        <v>15</v>
      </c>
      <c r="E35" s="48" t="inlineStr">
        <is>
          <t>sun.max.fill 等</t>
        </is>
      </c>
      <c r="F35" s="48" t="inlineStr">
        <is>
          <t>天气状况字符串（SF Symbol 值），见「枚举与状态码」页</t>
        </is>
      </c>
    </row>
    <row r="36" ht="29.1" customHeight="1" s="3">
      <c r="A36" s="47" t="inlineStr">
        <is>
          <t>...</t>
        </is>
      </c>
      <c r="B36" s="47" t="inlineStr">
        <is>
          <t>HighTemp</t>
        </is>
      </c>
      <c r="C36" s="47" t="n">
        <v>1</v>
      </c>
      <c r="D36" s="47" t="inlineStr">
        <is>
          <t>-</t>
        </is>
      </c>
      <c r="E36" s="47" t="inlineStr">
        <is>
          <t>int8（℃）</t>
        </is>
      </c>
      <c r="F36" s="47" t="inlineStr">
        <is>
          <t>当日最高温（v2.5.9 追加）</t>
        </is>
      </c>
    </row>
    <row r="37" ht="29.1" customHeight="1" s="3">
      <c r="A37" s="48" t="inlineStr">
        <is>
          <t>...</t>
        </is>
      </c>
      <c r="B37" s="48" t="inlineStr">
        <is>
          <t>LowTemp</t>
        </is>
      </c>
      <c r="C37" s="48" t="n">
        <v>1</v>
      </c>
      <c r="D37" s="48" t="inlineStr">
        <is>
          <t>-</t>
        </is>
      </c>
      <c r="E37" s="48" t="inlineStr">
        <is>
          <t>int8（℃）</t>
        </is>
      </c>
      <c r="F37" s="48" t="inlineStr">
        <is>
          <t>当日最低温（v2.5.9 追加）</t>
        </is>
      </c>
    </row>
    <row r="38" ht="29.1" customHeight="1" s="3">
      <c r="A38" s="77" t="inlineStr">
        <is>
          <t>Payload 总长（字节）</t>
        </is>
      </c>
      <c r="B38" s="143" t="n"/>
      <c r="C38" s="49" t="inlineStr">
        <is>
          <t>变长</t>
        </is>
      </c>
      <c r="D38" s="78" t="inlineStr">
        <is>
          <t>可变：Temperature(1) + Condition(1+N≤15) + HighTemp(1) + LowTemp(1)，约 10 字节</t>
        </is>
      </c>
      <c r="E38" s="61" t="n"/>
      <c r="F38" s="143" t="n"/>
    </row>
    <row r="39" ht="29.1" customHeight="1" s="3">
      <c r="A39" s="77" t="inlineStr">
        <is>
          <t>完整帧长（字节）</t>
        </is>
      </c>
      <c r="B39" s="143" t="n"/>
      <c r="C39" s="49" t="inlineStr">
        <is>
          <t>3 + Payload（变长）</t>
        </is>
      </c>
      <c r="D39" s="78" t="inlineStr">
        <is>
          <t>简单包：Type(1B) + Length(2B, BE) + Payload</t>
        </is>
      </c>
      <c r="E39" s="61" t="n"/>
      <c r="F39" s="143" t="n"/>
    </row>
    <row r="40"/>
    <row r="41" ht="24" customHeight="1" s="3">
      <c r="A41" s="85" t="inlineStr">
        <is>
          <t>§4.6  Time（0x05）</t>
        </is>
      </c>
      <c r="B41" s="61" t="n"/>
      <c r="C41" s="61" t="n"/>
      <c r="D41" s="61" t="n"/>
      <c r="E41" s="61" t="n"/>
      <c r="F41" s="143" t="n"/>
    </row>
    <row r="42" ht="36" customHeight="1" s="3">
      <c r="A42" s="76" t="inlineStr">
        <is>
          <t>方向：App → Device（FFE1 Write）｜传输：简单包｜用途：时间同步；明文（secure 模式经 0x7E 封装）</t>
        </is>
      </c>
      <c r="B42" s="61" t="n"/>
      <c r="C42" s="61" t="n"/>
      <c r="D42" s="61" t="n"/>
      <c r="E42" s="61" t="n"/>
      <c r="F42" s="143" t="n"/>
    </row>
    <row r="43" ht="21.95" customHeight="1" s="3">
      <c r="A43" s="39" t="inlineStr">
        <is>
          <t>偏移(字节)</t>
        </is>
      </c>
      <c r="B43" s="39" t="inlineStr">
        <is>
          <t>字段</t>
        </is>
      </c>
      <c r="C43" s="39" t="inlineStr">
        <is>
          <t>大小(字节)</t>
        </is>
      </c>
      <c r="D43" s="39" t="inlineStr">
        <is>
          <t>上限(字节)</t>
        </is>
      </c>
      <c r="E43" s="39" t="inlineStr">
        <is>
          <t>取值/枚举</t>
        </is>
      </c>
      <c r="F43" s="39" t="inlineStr">
        <is>
          <t>说明</t>
        </is>
      </c>
    </row>
    <row r="44" ht="29.1" customHeight="1" s="3">
      <c r="A44" s="47" t="n">
        <v>0</v>
      </c>
      <c r="B44" s="47" t="inlineStr">
        <is>
          <t>Year</t>
        </is>
      </c>
      <c r="C44" s="47" t="n">
        <v>1</v>
      </c>
      <c r="D44" s="47" t="inlineStr">
        <is>
          <t>-</t>
        </is>
      </c>
      <c r="E44" s="47" t="inlineStr">
        <is>
          <t>年份-2000</t>
        </is>
      </c>
      <c r="F44" s="47" t="inlineStr">
        <is>
          <t>例如 26 = 2026</t>
        </is>
      </c>
    </row>
    <row r="45" ht="29.1" customHeight="1" s="3">
      <c r="A45" s="48" t="n">
        <v>1</v>
      </c>
      <c r="B45" s="48" t="inlineStr">
        <is>
          <t>Month</t>
        </is>
      </c>
      <c r="C45" s="48" t="n">
        <v>1</v>
      </c>
      <c r="D45" s="48" t="inlineStr">
        <is>
          <t>-</t>
        </is>
      </c>
      <c r="E45" s="48" t="inlineStr">
        <is>
          <t>1–12</t>
        </is>
      </c>
      <c r="F45" s="48" t="inlineStr">
        <is>
          <t>月份</t>
        </is>
      </c>
    </row>
    <row r="46" ht="29.1" customHeight="1" s="3">
      <c r="A46" s="47" t="n">
        <v>2</v>
      </c>
      <c r="B46" s="47" t="inlineStr">
        <is>
          <t>Day</t>
        </is>
      </c>
      <c r="C46" s="47" t="n">
        <v>1</v>
      </c>
      <c r="D46" s="47" t="inlineStr">
        <is>
          <t>-</t>
        </is>
      </c>
      <c r="E46" s="47" t="inlineStr">
        <is>
          <t>1–31</t>
        </is>
      </c>
      <c r="F46" s="47" t="inlineStr">
        <is>
          <t>日期</t>
        </is>
      </c>
    </row>
    <row r="47" ht="29.1" customHeight="1" s="3">
      <c r="A47" s="48" t="n">
        <v>3</v>
      </c>
      <c r="B47" s="48" t="inlineStr">
        <is>
          <t>Hour</t>
        </is>
      </c>
      <c r="C47" s="48" t="n">
        <v>1</v>
      </c>
      <c r="D47" s="48" t="inlineStr">
        <is>
          <t>-</t>
        </is>
      </c>
      <c r="E47" s="48" t="inlineStr">
        <is>
          <t>0–23</t>
        </is>
      </c>
      <c r="F47" s="48" t="inlineStr">
        <is>
          <t>小时</t>
        </is>
      </c>
    </row>
    <row r="48" ht="29.1" customHeight="1" s="3">
      <c r="A48" s="47" t="n">
        <v>4</v>
      </c>
      <c r="B48" s="47" t="inlineStr">
        <is>
          <t>Minute</t>
        </is>
      </c>
      <c r="C48" s="47" t="n">
        <v>1</v>
      </c>
      <c r="D48" s="47" t="inlineStr">
        <is>
          <t>-</t>
        </is>
      </c>
      <c r="E48" s="47" t="inlineStr">
        <is>
          <t>0–59</t>
        </is>
      </c>
      <c r="F48" s="47" t="inlineStr">
        <is>
          <t>分钟</t>
        </is>
      </c>
    </row>
    <row r="49" ht="29.1" customHeight="1" s="3">
      <c r="A49" s="48" t="n">
        <v>5</v>
      </c>
      <c r="B49" s="48" t="inlineStr">
        <is>
          <t>Second</t>
        </is>
      </c>
      <c r="C49" s="48" t="n">
        <v>1</v>
      </c>
      <c r="D49" s="48" t="inlineStr">
        <is>
          <t>-</t>
        </is>
      </c>
      <c r="E49" s="48" t="inlineStr">
        <is>
          <t>0–59</t>
        </is>
      </c>
      <c r="F49" s="48" t="inlineStr">
        <is>
          <t>秒</t>
        </is>
      </c>
    </row>
    <row r="50" ht="29.1" customHeight="1" s="3">
      <c r="A50" s="77" t="inlineStr">
        <is>
          <t>Payload 总长（字节）</t>
        </is>
      </c>
      <c r="B50" s="143" t="n"/>
      <c r="C50" s="49">
        <f>SUM(C44:C49)</f>
        <v/>
      </c>
      <c r="D50" s="78" t="inlineStr">
        <is>
          <t>固定长度（字段均为定长字节）</t>
        </is>
      </c>
      <c r="E50" s="61" t="n"/>
      <c r="F50" s="143" t="n"/>
    </row>
    <row r="51" ht="29.1" customHeight="1" s="3">
      <c r="A51" s="77" t="inlineStr">
        <is>
          <t>完整帧长（字节）</t>
        </is>
      </c>
      <c r="B51" s="143" t="n"/>
      <c r="C51" s="49">
        <f>3+C50</f>
        <v/>
      </c>
      <c r="D51" s="78" t="inlineStr">
        <is>
          <t>简单包：Type(1B) + Length(2B, BE) + Payload</t>
        </is>
      </c>
      <c r="E51" s="61" t="n"/>
      <c r="F51" s="143" t="n"/>
    </row>
    <row r="52"/>
    <row r="53" ht="24" customHeight="1" s="3">
      <c r="A53" s="85" t="inlineStr">
        <is>
          <t>§4.9  DeviceMode（0x12）</t>
        </is>
      </c>
      <c r="B53" s="61" t="n"/>
      <c r="C53" s="61" t="n"/>
      <c r="D53" s="61" t="n"/>
      <c r="E53" s="61" t="n"/>
      <c r="F53" s="143" t="n"/>
    </row>
    <row r="54" ht="36" customHeight="1" s="3">
      <c r="A54" s="76" t="inlineStr">
        <is>
          <t>方向：App → Device（FFE1 Write）｜传输：简单包｜用途：设置设备运行模式；明文（secure 模式经 0x7E 封装）</t>
        </is>
      </c>
      <c r="B54" s="61" t="n"/>
      <c r="C54" s="61" t="n"/>
      <c r="D54" s="61" t="n"/>
      <c r="E54" s="61" t="n"/>
      <c r="F54" s="143" t="n"/>
    </row>
    <row r="55" ht="21.95" customHeight="1" s="3">
      <c r="A55" s="39" t="inlineStr">
        <is>
          <t>偏移(字节)</t>
        </is>
      </c>
      <c r="B55" s="39" t="inlineStr">
        <is>
          <t>字段</t>
        </is>
      </c>
      <c r="C55" s="39" t="inlineStr">
        <is>
          <t>大小(字节)</t>
        </is>
      </c>
      <c r="D55" s="39" t="inlineStr">
        <is>
          <t>上限(字节)</t>
        </is>
      </c>
      <c r="E55" s="39" t="inlineStr">
        <is>
          <t>取值/枚举</t>
        </is>
      </c>
      <c r="F55" s="39" t="inlineStr">
        <is>
          <t>说明</t>
        </is>
      </c>
    </row>
    <row r="56" ht="29.1" customHeight="1" s="3">
      <c r="A56" s="47" t="n">
        <v>0</v>
      </c>
      <c r="B56" s="47" t="inlineStr">
        <is>
          <t>Mode</t>
        </is>
      </c>
      <c r="C56" s="47" t="n">
        <v>1</v>
      </c>
      <c r="D56" s="47" t="inlineStr">
        <is>
          <t>-</t>
        </is>
      </c>
      <c r="E56" s="47" t="inlineStr">
        <is>
          <t>0x00 / 0x01</t>
        </is>
      </c>
      <c r="F56" s="35" t="inlineStr">
        <is>
          <t>0x00=Interactive，0x01=Focus；仅为设置快照，不得用于进入、退出或裁决专注状态</t>
        </is>
      </c>
    </row>
    <row r="57" ht="29.1" customHeight="1" s="3">
      <c r="A57" s="77" t="inlineStr">
        <is>
          <t>Payload 总长（字节）</t>
        </is>
      </c>
      <c r="B57" s="143" t="n"/>
      <c r="C57" s="49">
        <f>SUM(C56:C56)</f>
        <v/>
      </c>
      <c r="D57" s="78" t="inlineStr">
        <is>
          <t>固定长度（字段均为定长字节）</t>
        </is>
      </c>
      <c r="E57" s="61" t="n"/>
      <c r="F57" s="143" t="n"/>
    </row>
    <row r="58" ht="29.1" customHeight="1" s="3">
      <c r="A58" s="77" t="inlineStr">
        <is>
          <t>完整帧长（字节）</t>
        </is>
      </c>
      <c r="B58" s="143" t="n"/>
      <c r="C58" s="49">
        <f>3+C57</f>
        <v/>
      </c>
      <c r="D58" s="78" t="inlineStr">
        <is>
          <t>简单包：Type(1B) + Length(2B, BE) + Payload</t>
        </is>
      </c>
      <c r="E58" s="61" t="n"/>
      <c r="F58" s="143" t="n"/>
    </row>
    <row r="59"/>
    <row r="60" ht="24" customHeight="1" s="3">
      <c r="A60" s="85" t="inlineStr">
        <is>
          <t>§4.10  SmartReminder（0x13）</t>
        </is>
      </c>
      <c r="B60" s="61" t="n"/>
      <c r="C60" s="61" t="n"/>
      <c r="D60" s="61" t="n"/>
      <c r="E60" s="61" t="n"/>
      <c r="F60" s="143" t="n"/>
    </row>
    <row r="61" ht="36" customHeight="1" s="3">
      <c r="A61" s="76" t="inlineStr">
        <is>
          <t>方向：App → Device（FFE1 Write）｜传输：简单包｜用途：AI 智能提醒推送；明文（secure 模式经 0x7E 封装）</t>
        </is>
      </c>
      <c r="B61" s="61" t="n"/>
      <c r="C61" s="61" t="n"/>
      <c r="D61" s="61" t="n"/>
      <c r="E61" s="61" t="n"/>
      <c r="F61" s="143" t="n"/>
    </row>
    <row r="62" ht="21.95" customHeight="1" s="3">
      <c r="A62" s="39" t="inlineStr">
        <is>
          <t>偏移(字节)</t>
        </is>
      </c>
      <c r="B62" s="39" t="inlineStr">
        <is>
          <t>字段</t>
        </is>
      </c>
      <c r="C62" s="39" t="inlineStr">
        <is>
          <t>大小(字节)</t>
        </is>
      </c>
      <c r="D62" s="39" t="inlineStr">
        <is>
          <t>上限(字节)</t>
        </is>
      </c>
      <c r="E62" s="39" t="inlineStr">
        <is>
          <t>取值/枚举</t>
        </is>
      </c>
      <c r="F62" s="39" t="inlineStr">
        <is>
          <t>说明</t>
        </is>
      </c>
    </row>
    <row r="63" ht="29.1" customHeight="1" s="3">
      <c r="A63" s="47" t="n">
        <v>0</v>
      </c>
      <c r="B63" s="47" t="inlineStr">
        <is>
          <t>ReminderText</t>
        </is>
      </c>
      <c r="C63" s="47" t="inlineStr">
        <is>
          <t>1+N</t>
        </is>
      </c>
      <c r="D63" s="47" t="n">
        <v>60</v>
      </c>
      <c r="E63" s="47" t="inlineStr">
        <is>
          <t>长度前缀字符串</t>
        </is>
      </c>
      <c r="F63" s="47" t="inlineStr">
        <is>
          <t>提醒消息文本</t>
        </is>
      </c>
    </row>
    <row r="64" ht="29.1" customHeight="1" s="3">
      <c r="A64" s="48" t="inlineStr">
        <is>
          <t>N+1</t>
        </is>
      </c>
      <c r="B64" s="48" t="inlineStr">
        <is>
          <t>ReminderType</t>
        </is>
      </c>
      <c r="C64" s="48" t="n">
        <v>1</v>
      </c>
      <c r="D64" s="48" t="inlineStr">
        <is>
          <t>-</t>
        </is>
      </c>
      <c r="E64" s="48" t="inlineStr">
        <is>
          <t>0x00 / 0x01</t>
        </is>
      </c>
      <c r="F64" s="48" t="inlineStr">
        <is>
          <t>0x00=gentle 普通提醒，0x01=urgent 紧急提醒（加粗边框）</t>
        </is>
      </c>
    </row>
    <row r="65" ht="29.1" customHeight="1" s="3">
      <c r="A65" s="47" t="inlineStr">
        <is>
          <t>N+2</t>
        </is>
      </c>
      <c r="B65" s="47" t="inlineStr">
        <is>
          <t>PetMoodByte</t>
        </is>
      </c>
      <c r="C65" s="47" t="n">
        <v>1</v>
      </c>
      <c r="D65" s="47" t="inlineStr">
        <is>
          <t>-</t>
        </is>
      </c>
      <c r="E65" s="47" t="inlineStr">
        <is>
          <t>H / E / F / S / M</t>
        </is>
      </c>
      <c r="F65" s="47" t="inlineStr">
        <is>
          <t>显示用宠物心情；固件当前阶段应忽略（同 §4.2 Mood）</t>
        </is>
      </c>
    </row>
    <row r="66" ht="29.1" customHeight="1" s="3">
      <c r="A66" s="77" t="inlineStr">
        <is>
          <t>Payload 总长（字节）</t>
        </is>
      </c>
      <c r="B66" s="143" t="n"/>
      <c r="C66" s="49" t="inlineStr">
        <is>
          <t>变长</t>
        </is>
      </c>
      <c r="D66" s="78" t="inlineStr">
        <is>
          <t>可变：ReminderText(1+N≤60) + ReminderType(1) + PetMoodByte(1)</t>
        </is>
      </c>
      <c r="E66" s="61" t="n"/>
      <c r="F66" s="143" t="n"/>
    </row>
    <row r="67" ht="29.1" customHeight="1" s="3">
      <c r="A67" s="77" t="inlineStr">
        <is>
          <t>完整帧长（字节）</t>
        </is>
      </c>
      <c r="B67" s="143" t="n"/>
      <c r="C67" s="49" t="inlineStr">
        <is>
          <t>3 + Payload（变长）</t>
        </is>
      </c>
      <c r="D67" s="78" t="inlineStr">
        <is>
          <t>简单包：Type(1B) + Length(2B, BE) + Payload</t>
        </is>
      </c>
      <c r="E67" s="61" t="n"/>
      <c r="F67" s="143" t="n"/>
    </row>
    <row r="68"/>
    <row r="69" ht="24" customHeight="1" s="3">
      <c r="A69" s="85" t="inlineStr">
        <is>
          <t>§4.13  EventLogRequest（0x20）</t>
        </is>
      </c>
      <c r="B69" s="61" t="n"/>
      <c r="C69" s="61" t="n"/>
      <c r="D69" s="61" t="n"/>
      <c r="E69" s="61" t="n"/>
      <c r="F69" s="143" t="n"/>
    </row>
    <row r="70" ht="36" customHeight="1" s="3">
      <c r="A70" s="76" t="inlineStr">
        <is>
          <t>方向：App → Device（FFE1 Write）｜传输：简单包｜用途：请求增量事件日志；明文（secure 模式经 0x7E 封装）</t>
        </is>
      </c>
      <c r="B70" s="61" t="n"/>
      <c r="C70" s="61" t="n"/>
      <c r="D70" s="61" t="n"/>
      <c r="E70" s="61" t="n"/>
      <c r="F70" s="143" t="n"/>
    </row>
    <row r="71" ht="21.95" customHeight="1" s="3">
      <c r="A71" s="39" t="inlineStr">
        <is>
          <t>偏移(字节)</t>
        </is>
      </c>
      <c r="B71" s="39" t="inlineStr">
        <is>
          <t>字段</t>
        </is>
      </c>
      <c r="C71" s="39" t="inlineStr">
        <is>
          <t>大小(字节)</t>
        </is>
      </c>
      <c r="D71" s="39" t="inlineStr">
        <is>
          <t>上限(字节)</t>
        </is>
      </c>
      <c r="E71" s="39" t="inlineStr">
        <is>
          <t>取值/枚举</t>
        </is>
      </c>
      <c r="F71" s="39" t="inlineStr">
        <is>
          <t>说明</t>
        </is>
      </c>
    </row>
    <row r="72" ht="29.1" customHeight="1" s="3">
      <c r="A72" s="47" t="n">
        <v>0</v>
      </c>
      <c r="B72" s="47" t="inlineStr">
        <is>
          <t>Since</t>
        </is>
      </c>
      <c r="C72" s="47" t="n">
        <v>4</v>
      </c>
      <c r="D72" s="47" t="inlineStr">
        <is>
          <t>-</t>
        </is>
      </c>
      <c r="E72" s="47" t="inlineStr">
        <is>
          <t>UInt32 BE</t>
        </is>
      </c>
      <c r="F72" s="47" t="inlineStr">
        <is>
          <t>Unix Timestamp；设备回传 timestamp &gt; Since 的事件（EventLogBatch 0x21）</t>
        </is>
      </c>
    </row>
    <row r="73" ht="29.1" customHeight="1" s="3">
      <c r="A73" s="77" t="inlineStr">
        <is>
          <t>Payload 总长（字节）</t>
        </is>
      </c>
      <c r="B73" s="143" t="n"/>
      <c r="C73" s="49">
        <f>SUM(C72:C72)</f>
        <v/>
      </c>
      <c r="D73" s="78" t="inlineStr">
        <is>
          <t>固定长度（字段均为定长字节）</t>
        </is>
      </c>
      <c r="E73" s="61" t="n"/>
      <c r="F73" s="143" t="n"/>
    </row>
    <row r="74" ht="29.1" customHeight="1" s="3">
      <c r="A74" s="77" t="inlineStr">
        <is>
          <t>完整帧长（字节）</t>
        </is>
      </c>
      <c r="B74" s="143" t="n"/>
      <c r="C74" s="49">
        <f>3+C73</f>
        <v/>
      </c>
      <c r="D74" s="78" t="inlineStr">
        <is>
          <t>简单包：Type(1B) + Length(2B, BE) + Payload</t>
        </is>
      </c>
      <c r="E74" s="61" t="n"/>
      <c r="F74" s="143" t="n"/>
    </row>
    <row r="75"/>
    <row r="76" ht="24" customHeight="1" s="3">
      <c r="A76" s="85" t="inlineStr">
        <is>
          <t>§4.16  SceneUnlock（0x17）</t>
        </is>
      </c>
      <c r="B76" s="61" t="n"/>
      <c r="C76" s="61" t="n"/>
      <c r="D76" s="61" t="n"/>
      <c r="E76" s="61" t="n"/>
      <c r="F76" s="143" t="n"/>
    </row>
    <row r="77" ht="36" customHeight="1" s="3">
      <c r="A77" s="76" t="inlineStr">
        <is>
          <t>方向：App → Device（FFE1 Write）｜传输：简单包｜用途：场景解锁 / 切换（替代旧 0xAA 01 01）；明文（secure 模式经 0x7E 封装）</t>
        </is>
      </c>
      <c r="B77" s="61" t="n"/>
      <c r="C77" s="61" t="n"/>
      <c r="D77" s="61" t="n"/>
      <c r="E77" s="61" t="n"/>
      <c r="F77" s="143" t="n"/>
    </row>
    <row r="78" ht="21.95" customHeight="1" s="3">
      <c r="A78" s="39" t="inlineStr">
        <is>
          <t>偏移(字节)</t>
        </is>
      </c>
      <c r="B78" s="39" t="inlineStr">
        <is>
          <t>字段</t>
        </is>
      </c>
      <c r="C78" s="39" t="inlineStr">
        <is>
          <t>大小(字节)</t>
        </is>
      </c>
      <c r="D78" s="39" t="inlineStr">
        <is>
          <t>上限(字节)</t>
        </is>
      </c>
      <c r="E78" s="39" t="inlineStr">
        <is>
          <t>取值/枚举</t>
        </is>
      </c>
      <c r="F78" s="39" t="inlineStr">
        <is>
          <t>说明</t>
        </is>
      </c>
    </row>
    <row r="79" ht="29.1" customHeight="1" s="3">
      <c r="A79" s="47" t="n">
        <v>0</v>
      </c>
      <c r="B79" s="47" t="inlineStr">
        <is>
          <t>SceneId</t>
        </is>
      </c>
      <c r="C79" s="47" t="n">
        <v>1</v>
      </c>
      <c r="D79" s="47" t="inlineStr">
        <is>
          <t>-</t>
        </is>
      </c>
      <c r="E79" s="47" t="inlineStr">
        <is>
          <t>0x00 / 0x01 / 0x02</t>
        </is>
      </c>
      <c r="F79" s="47" t="inlineStr">
        <is>
          <t>0x00=harbor，0x01=forest，0x02=nightCity</t>
        </is>
      </c>
    </row>
    <row r="80" ht="29.1" customHeight="1" s="3">
      <c r="A80" s="77" t="inlineStr">
        <is>
          <t>Payload 总长（字节）</t>
        </is>
      </c>
      <c r="B80" s="143" t="n"/>
      <c r="C80" s="49">
        <f>SUM(C79:C79)</f>
        <v/>
      </c>
      <c r="D80" s="78" t="inlineStr">
        <is>
          <t>固定长度（字段均为定长字节）</t>
        </is>
      </c>
      <c r="E80" s="61" t="n"/>
      <c r="F80" s="143" t="n"/>
    </row>
    <row r="81" ht="29.1" customHeight="1" s="3">
      <c r="A81" s="77" t="inlineStr">
        <is>
          <t>完整帧长（字节）</t>
        </is>
      </c>
      <c r="B81" s="143" t="n"/>
      <c r="C81" s="49">
        <f>3+C80</f>
        <v/>
      </c>
      <c r="D81" s="78" t="inlineStr">
        <is>
          <t>简单包：Type(1B) + Length(2B, BE) + Payload</t>
        </is>
      </c>
      <c r="E81" s="61" t="n"/>
      <c r="F81" s="143" t="n"/>
    </row>
    <row r="82"/>
    <row r="83" ht="24" customHeight="1" s="3">
      <c r="A83" s="85" t="inlineStr">
        <is>
          <t>§4.15  Screensaver（0x16）</t>
        </is>
      </c>
      <c r="B83" s="61" t="n"/>
      <c r="C83" s="61" t="n"/>
      <c r="D83" s="61" t="n"/>
      <c r="E83" s="61" t="n"/>
      <c r="F83" s="143" t="n"/>
    </row>
    <row r="84" ht="36" customHeight="1" s="3">
      <c r="A84" s="76" t="inlineStr">
        <is>
          <t>方向：App → Device（FFE1 Write）｜传输：分包（11B 头）｜用途：屏保金句 / 明信片（替代旧 0xAA 01 02）｜Quote+Author 较长时按 §3.2 分包；明文（secure 模式经 0x7E 封装）</t>
        </is>
      </c>
      <c r="B84" s="61" t="n"/>
      <c r="C84" s="61" t="n"/>
      <c r="D84" s="61" t="n"/>
      <c r="E84" s="61" t="n"/>
      <c r="F84" s="143" t="n"/>
    </row>
    <row r="85" ht="21.95" customHeight="1" s="3">
      <c r="A85" s="39" t="inlineStr">
        <is>
          <t>偏移(字节)</t>
        </is>
      </c>
      <c r="B85" s="39" t="inlineStr">
        <is>
          <t>字段</t>
        </is>
      </c>
      <c r="C85" s="39" t="inlineStr">
        <is>
          <t>大小(字节)</t>
        </is>
      </c>
      <c r="D85" s="39" t="inlineStr">
        <is>
          <t>上限(字节)</t>
        </is>
      </c>
      <c r="E85" s="39" t="inlineStr">
        <is>
          <t>取值/枚举</t>
        </is>
      </c>
      <c r="F85" s="39" t="inlineStr">
        <is>
          <t>说明</t>
        </is>
      </c>
    </row>
    <row r="86" ht="29.1" customHeight="1" s="3">
      <c r="A86" s="47" t="n">
        <v>0</v>
      </c>
      <c r="B86" s="47" t="inlineStr">
        <is>
          <t>ContentType</t>
        </is>
      </c>
      <c r="C86" s="47" t="n">
        <v>1</v>
      </c>
      <c r="D86" s="47" t="inlineStr">
        <is>
          <t>-</t>
        </is>
      </c>
      <c r="E86" s="47" t="inlineStr">
        <is>
          <t>0x00 / 0x01</t>
        </is>
      </c>
      <c r="F86" s="47" t="inlineStr">
        <is>
          <t>0x00=normal 金句，0x01=postcard 明信片</t>
        </is>
      </c>
    </row>
    <row r="87" ht="29.1" customHeight="1" s="3">
      <c r="A87" s="48" t="n">
        <v>1</v>
      </c>
      <c r="B87" s="48" t="inlineStr">
        <is>
          <t>SceneByte</t>
        </is>
      </c>
      <c r="C87" s="48" t="n">
        <v>1</v>
      </c>
      <c r="D87" s="48" t="inlineStr">
        <is>
          <t>-</t>
        </is>
      </c>
      <c r="E87" s="48" t="inlineStr">
        <is>
          <t>0x00–0x02</t>
        </is>
      </c>
      <c r="F87" s="48" t="inlineStr">
        <is>
          <t>场景：0x00=harbor，0x01=forest，0x02=nightCity</t>
        </is>
      </c>
    </row>
    <row r="88" ht="29.1" customHeight="1" s="3">
      <c r="A88" s="47" t="n">
        <v>2</v>
      </c>
      <c r="B88" s="47" t="inlineStr">
        <is>
          <t>PostcardDay</t>
        </is>
      </c>
      <c r="C88" s="47" t="n">
        <v>1</v>
      </c>
      <c r="D88" s="47" t="inlineStr">
        <is>
          <t>-</t>
        </is>
      </c>
      <c r="E88" s="47" t="inlineStr">
        <is>
          <t>0–255</t>
        </is>
      </c>
      <c r="F88" s="47" t="inlineStr">
        <is>
          <t>明信片天数，无则为 0</t>
        </is>
      </c>
    </row>
    <row r="89" ht="29.1" customHeight="1" s="3">
      <c r="A89" s="48" t="n">
        <v>3</v>
      </c>
      <c r="B89" s="48" t="inlineStr">
        <is>
          <t>Quote</t>
        </is>
      </c>
      <c r="C89" s="48" t="inlineStr">
        <is>
          <t>1+N</t>
        </is>
      </c>
      <c r="D89" s="48" t="n">
        <v>180</v>
      </c>
      <c r="E89" s="48" t="inlineStr">
        <is>
          <t>长度前缀字符串</t>
        </is>
      </c>
      <c r="F89" s="48" t="inlineStr">
        <is>
          <t>UTF-8 金句</t>
        </is>
      </c>
    </row>
    <row r="90" ht="29.1" customHeight="1" s="3">
      <c r="A90" s="47" t="inlineStr">
        <is>
          <t>...</t>
        </is>
      </c>
      <c r="B90" s="47" t="inlineStr">
        <is>
          <t>Author</t>
        </is>
      </c>
      <c r="C90" s="47" t="inlineStr">
        <is>
          <t>1+N</t>
        </is>
      </c>
      <c r="D90" s="47" t="n">
        <v>40</v>
      </c>
      <c r="E90" s="47" t="inlineStr">
        <is>
          <t>长度前缀字符串</t>
        </is>
      </c>
      <c r="F90" s="47" t="inlineStr">
        <is>
          <t>UTF-8 作者</t>
        </is>
      </c>
    </row>
    <row r="91" ht="29.1" customHeight="1" s="3">
      <c r="A91" s="77" t="inlineStr">
        <is>
          <t>Payload 总长（字节）</t>
        </is>
      </c>
      <c r="B91" s="143" t="n"/>
      <c r="C91" s="49" t="inlineStr">
        <is>
          <t>变长</t>
        </is>
      </c>
      <c r="D91" s="78" t="inlineStr">
        <is>
          <t>可变：ContentType(1) + SceneByte(1) + PostcardDay(1) + Quote(1+N≤180) + Author(1+N≤40)</t>
        </is>
      </c>
      <c r="E91" s="61" t="n"/>
      <c r="F91" s="143" t="n"/>
    </row>
    <row r="92" ht="29.1" customHeight="1" s="3">
      <c r="A92" s="77" t="inlineStr">
        <is>
          <t>完整帧长（字节）</t>
        </is>
      </c>
      <c r="B92" s="143" t="n"/>
      <c r="C92" s="49" t="inlineStr">
        <is>
          <t>简单包 / 分包（11B 头）</t>
        </is>
      </c>
      <c r="D92" s="78" t="inlineStr">
        <is>
          <t>分包：Type(1B) + MessageId(2B) + Seq(2B) + Total(2B) + PayloadLen(2B) + CRC16(2B) + Payload</t>
        </is>
      </c>
      <c r="E92" s="61" t="n"/>
      <c r="F92" s="143" t="n"/>
    </row>
    <row r="93"/>
    <row r="94" ht="24" customHeight="1" s="3">
      <c r="A94" s="85" t="inlineStr">
        <is>
          <t>§4.17  OTAReboot（0x18）</t>
        </is>
      </c>
      <c r="B94" s="61" t="n"/>
      <c r="C94" s="61" t="n"/>
      <c r="D94" s="61" t="n"/>
      <c r="E94" s="61" t="n"/>
      <c r="F94" s="143" t="n"/>
    </row>
    <row r="95" ht="36" customHeight="1" s="3">
      <c r="A95" s="76" t="inlineStr">
        <is>
          <t>方向：App → Device（FFE1 Write）｜传输：简单包｜用途：触发固件升级重启｜零 payload；固件校验 update.bin 合法后回 OTAResult 并立即重启；明文（secure 模式经 0x7E 封装）</t>
        </is>
      </c>
      <c r="B95" s="61" t="n"/>
      <c r="C95" s="61" t="n"/>
      <c r="D95" s="61" t="n"/>
      <c r="E95" s="61" t="n"/>
      <c r="F95" s="143" t="n"/>
    </row>
    <row r="96" ht="21.95" customHeight="1" s="3">
      <c r="A96" s="39" t="inlineStr">
        <is>
          <t>偏移(字节)</t>
        </is>
      </c>
      <c r="B96" s="39" t="inlineStr">
        <is>
          <t>字段</t>
        </is>
      </c>
      <c r="C96" s="39" t="inlineStr">
        <is>
          <t>大小(字节)</t>
        </is>
      </c>
      <c r="D96" s="39" t="inlineStr">
        <is>
          <t>上限(字节)</t>
        </is>
      </c>
      <c r="E96" s="39" t="inlineStr">
        <is>
          <t>取值/枚举</t>
        </is>
      </c>
      <c r="F96" s="39" t="inlineStr">
        <is>
          <t>说明</t>
        </is>
      </c>
    </row>
    <row r="97" ht="29.1" customHeight="1" s="3">
      <c r="A97" s="47" t="inlineStr">
        <is>
          <t>—</t>
        </is>
      </c>
      <c r="B97" s="47" t="inlineStr">
        <is>
          <t>（无字段）</t>
        </is>
      </c>
      <c r="C97" s="47" t="n">
        <v>0</v>
      </c>
      <c r="D97" s="47" t="inlineStr">
        <is>
          <t>-</t>
        </is>
      </c>
      <c r="E97" s="47" t="inlineStr">
        <is>
          <t>Length = 0</t>
        </is>
      </c>
      <c r="F97" s="47" t="inlineStr">
        <is>
          <t>升级包不经 BLE 传输，由设备 WiFi AP 网页接收 update.bin（≤3MB）</t>
        </is>
      </c>
    </row>
    <row r="98" ht="29.1" customHeight="1" s="3">
      <c r="A98" s="77" t="inlineStr">
        <is>
          <t>Payload 总长（字节）</t>
        </is>
      </c>
      <c r="B98" s="143" t="n"/>
      <c r="C98" s="49">
        <f>SUM(C97:C97)</f>
        <v/>
      </c>
      <c r="D98" s="78" t="inlineStr">
        <is>
          <t>固定长度（字段均为定长字节）</t>
        </is>
      </c>
      <c r="E98" s="61" t="n"/>
      <c r="F98" s="143" t="n"/>
    </row>
    <row r="99" ht="29.1" customHeight="1" s="3">
      <c r="A99" s="77" t="inlineStr">
        <is>
          <t>完整帧长（字节）</t>
        </is>
      </c>
      <c r="B99" s="143" t="n"/>
      <c r="C99" s="49">
        <f>3+C98</f>
        <v/>
      </c>
      <c r="D99" s="78" t="inlineStr">
        <is>
          <t>简单包：Type(1B) + Length(2B, BE) + Payload</t>
        </is>
      </c>
      <c r="E99" s="61" t="n"/>
      <c r="F99" s="143" t="n"/>
    </row>
    <row r="100"/>
    <row r="101" ht="24" customHeight="1" s="3">
      <c r="A101" s="85" t="inlineStr">
        <is>
          <t>§4.18  WiFiDebugMode（0x19）</t>
        </is>
      </c>
      <c r="B101" s="61" t="n"/>
      <c r="C101" s="61" t="n"/>
      <c r="D101" s="61" t="n"/>
      <c r="E101" s="61" t="n"/>
      <c r="F101" s="143" t="n"/>
    </row>
    <row r="102" ht="51" customHeight="1" s="3">
      <c r="A102" s="76" t="inlineStr">
        <is>
          <t>方向：App → Device（FFE1 Write）｜传输：简单包｜用途：开启 / 关闭 / 查询 PC Wi-Fi 调试模式｜明文帧示例：19 00 01 00（关闭）/ 01（开启）/ 02（查询）；明文（secure 模式经 0x7E 封装）</t>
        </is>
      </c>
      <c r="B102" s="61" t="n"/>
      <c r="C102" s="61" t="n"/>
      <c r="D102" s="61" t="n"/>
      <c r="E102" s="61" t="n"/>
      <c r="F102" s="143" t="n"/>
    </row>
    <row r="103" ht="21.95" customHeight="1" s="3">
      <c r="A103" s="39" t="inlineStr">
        <is>
          <t>偏移(字节)</t>
        </is>
      </c>
      <c r="B103" s="39" t="inlineStr">
        <is>
          <t>字段</t>
        </is>
      </c>
      <c r="C103" s="39" t="inlineStr">
        <is>
          <t>大小(字节)</t>
        </is>
      </c>
      <c r="D103" s="39" t="inlineStr">
        <is>
          <t>上限(字节)</t>
        </is>
      </c>
      <c r="E103" s="39" t="inlineStr">
        <is>
          <t>取值/枚举</t>
        </is>
      </c>
      <c r="F103" s="39" t="inlineStr">
        <is>
          <t>说明</t>
        </is>
      </c>
    </row>
    <row r="104" ht="29.1" customHeight="1" s="3">
      <c r="A104" s="47" t="n">
        <v>0</v>
      </c>
      <c r="B104" s="47" t="inlineStr">
        <is>
          <t>Command</t>
        </is>
      </c>
      <c r="C104" s="47" t="n">
        <v>1</v>
      </c>
      <c r="D104" s="47" t="inlineStr">
        <is>
          <t>-</t>
        </is>
      </c>
      <c r="E104" s="47" t="inlineStr">
        <is>
          <t>0x00 / 0x01 / 0x02</t>
        </is>
      </c>
      <c r="F104" s="47" t="inlineStr">
        <is>
          <t>0x00=关闭，0x01=开启，0x02=查询当前实际状态（不改变状态）</t>
        </is>
      </c>
    </row>
    <row r="105" ht="29.1" customHeight="1" s="3">
      <c r="A105" s="77" t="inlineStr">
        <is>
          <t>Payload 总长（字节）</t>
        </is>
      </c>
      <c r="B105" s="143" t="n"/>
      <c r="C105" s="49">
        <f>SUM(C104:C104)</f>
        <v/>
      </c>
      <c r="D105" s="78" t="inlineStr">
        <is>
          <t>固定长度（字段均为定长字节）</t>
        </is>
      </c>
      <c r="E105" s="61" t="n"/>
      <c r="F105" s="143" t="n"/>
    </row>
    <row r="106" ht="29.1" customHeight="1" s="3">
      <c r="A106" s="77" t="inlineStr">
        <is>
          <t>完整帧长（字节）</t>
        </is>
      </c>
      <c r="B106" s="143" t="n"/>
      <c r="C106" s="49">
        <f>3+C105</f>
        <v/>
      </c>
      <c r="D106" s="78" t="inlineStr">
        <is>
          <t>简单包：Type(1B) + Length(2B, BE) + Payload</t>
        </is>
      </c>
      <c r="E106" s="61" t="n"/>
      <c r="F106" s="143" t="n"/>
    </row>
    <row r="107"/>
    <row r="108" ht="24" customHeight="1" s="3">
      <c r="A108" s="85" t="inlineStr">
        <is>
          <t>§4.20  WiFiAvatarSession（0x1A）</t>
        </is>
      </c>
      <c r="B108" s="61" t="n"/>
      <c r="C108" s="61" t="n"/>
      <c r="D108" s="61" t="n"/>
      <c r="E108" s="61" t="n"/>
      <c r="F108" s="143" t="n"/>
    </row>
    <row r="109" ht="36" customHeight="1" s="3">
      <c r="A109" s="76" t="inlineStr">
        <is>
          <t>方向：App → Device（FFE1 Write）｜传输：简单包｜用途：SoftAP 头像快速传输会话控制｜明文帧示例：1A 00 05 01 &lt;OperationID 4B&gt;；明文（secure 模式经 0x7E 封装）</t>
        </is>
      </c>
      <c r="B109" s="61" t="n"/>
      <c r="C109" s="61" t="n"/>
      <c r="D109" s="61" t="n"/>
      <c r="E109" s="61" t="n"/>
      <c r="F109" s="143" t="n"/>
    </row>
    <row r="110" ht="21.95" customHeight="1" s="3">
      <c r="A110" s="39" t="inlineStr">
        <is>
          <t>偏移(字节)</t>
        </is>
      </c>
      <c r="B110" s="39" t="inlineStr">
        <is>
          <t>字段</t>
        </is>
      </c>
      <c r="C110" s="39" t="inlineStr">
        <is>
          <t>大小(字节)</t>
        </is>
      </c>
      <c r="D110" s="39" t="inlineStr">
        <is>
          <t>上限(字节)</t>
        </is>
      </c>
      <c r="E110" s="39" t="inlineStr">
        <is>
          <t>取值/枚举</t>
        </is>
      </c>
      <c r="F110" s="39" t="inlineStr">
        <is>
          <t>说明</t>
        </is>
      </c>
    </row>
    <row r="111" ht="29.1" customHeight="1" s="3">
      <c r="A111" s="47" t="n">
        <v>0</v>
      </c>
      <c r="B111" s="47" t="inlineStr">
        <is>
          <t>Command</t>
        </is>
      </c>
      <c r="C111" s="47" t="n">
        <v>1</v>
      </c>
      <c r="D111" s="47" t="inlineStr">
        <is>
          <t>-</t>
        </is>
      </c>
      <c r="E111" s="47" t="inlineStr">
        <is>
          <t>0x00 / 0x01 / 0x02</t>
        </is>
      </c>
      <c r="F111" s="47" t="inlineStr">
        <is>
          <t>0x00=close 停止 SoftAP，0x01=open 启动并回报凭据+端点，0x02=query 只读查询</t>
        </is>
      </c>
    </row>
    <row r="112" ht="29.1" customHeight="1" s="3">
      <c r="A112" s="48" t="n">
        <v>1</v>
      </c>
      <c r="B112" s="48" t="inlineStr">
        <is>
          <t>OperationID</t>
        </is>
      </c>
      <c r="C112" s="48" t="n">
        <v>4</v>
      </c>
      <c r="D112" s="48" t="inlineStr">
        <is>
          <t>-</t>
        </is>
      </c>
      <c r="E112" s="48" t="inlineStr">
        <is>
          <t>UInt32 BE</t>
        </is>
      </c>
      <c r="F112" s="48" t="inlineStr">
        <is>
          <t>绑定本次头像事务（同 0x15/0x22 的 OperationID），须非零</t>
        </is>
      </c>
    </row>
    <row r="113" ht="29.1" customHeight="1" s="3">
      <c r="A113" s="77" t="inlineStr">
        <is>
          <t>Payload 总长（字节）</t>
        </is>
      </c>
      <c r="B113" s="143" t="n"/>
      <c r="C113" s="49">
        <f>SUM(C111:C112)</f>
        <v/>
      </c>
      <c r="D113" s="78" t="inlineStr">
        <is>
          <t>固定长度（字段均为定长字节）</t>
        </is>
      </c>
      <c r="E113" s="61" t="n"/>
      <c r="F113" s="143" t="n"/>
    </row>
    <row r="114" ht="29.1" customHeight="1" s="3">
      <c r="A114" s="77" t="inlineStr">
        <is>
          <t>完整帧长（字节）</t>
        </is>
      </c>
      <c r="B114" s="143" t="n"/>
      <c r="C114" s="49">
        <f>3+C113</f>
        <v/>
      </c>
      <c r="D114" s="78" t="inlineStr">
        <is>
          <t>简单包：Type(1B) + Length(2B, BE) + Payload</t>
        </is>
      </c>
      <c r="E114" s="61" t="n"/>
      <c r="F114" s="143" t="n"/>
    </row>
    <row r="115"/>
    <row r="116" ht="27.75" customHeight="1" s="3">
      <c r="A116" s="83" t="inlineStr">
        <is>
          <t>ShippingMode（0x1C）</t>
        </is>
      </c>
      <c r="B116" s="61" t="n"/>
      <c r="C116" s="61" t="n"/>
      <c r="D116" s="61" t="n"/>
      <c r="E116" s="61" t="n"/>
      <c r="F116" s="143" t="n"/>
    </row>
    <row r="117">
      <c r="A117" s="84" t="inlineStr">
        <is>
          <t>方向：App → Device（FFE1 Write）｜传输：简单包｜用途：开启 设备运输模式｜明文帧示例：1C 00 01 01（打开运输模式）；明文（secure 模式经 0x7E 封装）</t>
        </is>
      </c>
      <c r="B117" s="61" t="n"/>
      <c r="C117" s="61" t="n"/>
      <c r="D117" s="61" t="n"/>
      <c r="E117" s="61" t="n"/>
      <c r="F117" s="143" t="n"/>
    </row>
    <row r="118">
      <c r="A118" s="34" t="inlineStr">
        <is>
          <t>偏移(字节)</t>
        </is>
      </c>
      <c r="B118" s="34" t="inlineStr">
        <is>
          <t>字段</t>
        </is>
      </c>
      <c r="C118" s="34" t="inlineStr">
        <is>
          <t>大小(字节)</t>
        </is>
      </c>
      <c r="D118" s="34" t="inlineStr">
        <is>
          <t>上限(字节)</t>
        </is>
      </c>
      <c r="E118" s="34" t="inlineStr">
        <is>
          <t>取值/枚举</t>
        </is>
      </c>
      <c r="F118" s="34" t="inlineStr">
        <is>
          <t>说明</t>
        </is>
      </c>
    </row>
    <row r="119">
      <c r="A119" s="35" t="n">
        <v>0</v>
      </c>
      <c r="B119" s="35" t="inlineStr">
        <is>
          <t>Command</t>
        </is>
      </c>
      <c r="C119" s="35" t="n">
        <v>1</v>
      </c>
      <c r="D119" s="35" t="inlineStr">
        <is>
          <t>-</t>
        </is>
      </c>
      <c r="E119" s="35" t="inlineStr">
        <is>
          <t>0x01</t>
        </is>
      </c>
      <c r="F119" s="35" t="inlineStr">
        <is>
          <t>开启运输模式，无ACK，app以断连作为生效信号</t>
        </is>
      </c>
    </row>
    <row r="120">
      <c r="A120" s="88" t="inlineStr">
        <is>
          <t>Payload 总长（字节）</t>
        </is>
      </c>
      <c r="B120" s="143" t="n"/>
      <c r="C120" s="49">
        <f>SUM(C119:C119)</f>
        <v/>
      </c>
      <c r="D120" s="86" t="inlineStr">
        <is>
          <t>固定长度（字段均为定长字节）</t>
        </is>
      </c>
      <c r="E120" s="61" t="n"/>
      <c r="F120" s="143" t="n"/>
    </row>
    <row r="121">
      <c r="A121" s="88" t="inlineStr">
        <is>
          <t>完整帧长（字节）</t>
        </is>
      </c>
      <c r="B121" s="143" t="n"/>
      <c r="C121" s="49">
        <f>3+C120</f>
        <v/>
      </c>
      <c r="D121" s="86" t="inlineStr">
        <is>
          <t>简单包：Type(1B) + Length(2B, BE) + Payload</t>
        </is>
      </c>
      <c r="E121" s="61" t="n"/>
      <c r="F121" s="143" t="n"/>
    </row>
    <row r="122"/>
    <row r="123">
      <c r="A123" s="145" t="inlineStr">
        <is>
          <t>约定：大小以字节（Byte）为单位；「1+N」= 1 字节长度前缀 + N 字节内容；「…」表示偏移随前面的变长字段累积；多字节整数一律 Big Endian。来源：Kirole BLE 通信协议规格文档 2.10.1。</t>
        </is>
      </c>
    </row>
  </sheetData>
  <mergeCells count="87">
    <mergeCell ref="D11:F11"/>
    <mergeCell ref="A84:F84"/>
    <mergeCell ref="A98:B98"/>
    <mergeCell ref="A73:B73"/>
    <mergeCell ref="A51:B51"/>
    <mergeCell ref="D66:F66"/>
    <mergeCell ref="A95:F95"/>
    <mergeCell ref="D28:F28"/>
    <mergeCell ref="A5:F5"/>
    <mergeCell ref="A99:B99"/>
    <mergeCell ref="A32:F32"/>
    <mergeCell ref="D12:F12"/>
    <mergeCell ref="D92:F92"/>
    <mergeCell ref="A74:B74"/>
    <mergeCell ref="D39:F39"/>
    <mergeCell ref="D29:F29"/>
    <mergeCell ref="A31:F31"/>
    <mergeCell ref="A15:F15"/>
    <mergeCell ref="A60:F60"/>
    <mergeCell ref="D80:F80"/>
    <mergeCell ref="A19:B19"/>
    <mergeCell ref="A70:F70"/>
    <mergeCell ref="A28:B28"/>
    <mergeCell ref="D105:F105"/>
    <mergeCell ref="A39:B39"/>
    <mergeCell ref="D57:F57"/>
    <mergeCell ref="A41:F41"/>
    <mergeCell ref="D120:F120"/>
    <mergeCell ref="A108:F108"/>
    <mergeCell ref="A11:B11"/>
    <mergeCell ref="A101:F101"/>
    <mergeCell ref="D91:F91"/>
    <mergeCell ref="A2:F2"/>
    <mergeCell ref="A42:F42"/>
    <mergeCell ref="D106:F106"/>
    <mergeCell ref="A22:F22"/>
    <mergeCell ref="D74:F74"/>
    <mergeCell ref="A105:B105"/>
    <mergeCell ref="D67:F67"/>
    <mergeCell ref="A91:B91"/>
    <mergeCell ref="A61:F61"/>
    <mergeCell ref="A54:F54"/>
    <mergeCell ref="A92:B92"/>
    <mergeCell ref="A76:F76"/>
    <mergeCell ref="A116:F116"/>
    <mergeCell ref="D58:F58"/>
    <mergeCell ref="A80:B80"/>
    <mergeCell ref="D121:F121"/>
    <mergeCell ref="A120:B120"/>
    <mergeCell ref="A109:F109"/>
    <mergeCell ref="A53:F53"/>
    <mergeCell ref="D73:F73"/>
    <mergeCell ref="A12:B12"/>
    <mergeCell ref="D51:F51"/>
    <mergeCell ref="D113:F113"/>
    <mergeCell ref="A57:B57"/>
    <mergeCell ref="A113:B113"/>
    <mergeCell ref="A102:F102"/>
    <mergeCell ref="A117:F117"/>
    <mergeCell ref="D50:F50"/>
    <mergeCell ref="A83:F83"/>
    <mergeCell ref="A106:B106"/>
    <mergeCell ref="D20:F20"/>
    <mergeCell ref="D99:F99"/>
    <mergeCell ref="A38:B38"/>
    <mergeCell ref="A94:F94"/>
    <mergeCell ref="A1:F1"/>
    <mergeCell ref="A67:B67"/>
    <mergeCell ref="A14:F14"/>
    <mergeCell ref="A23:F23"/>
    <mergeCell ref="A66:B66"/>
    <mergeCell ref="A4:F4"/>
    <mergeCell ref="D114:F114"/>
    <mergeCell ref="A50:B50"/>
    <mergeCell ref="D38:F38"/>
    <mergeCell ref="D98:F98"/>
    <mergeCell ref="A77:F77"/>
    <mergeCell ref="D81:F81"/>
    <mergeCell ref="A20:B20"/>
    <mergeCell ref="D19:F19"/>
    <mergeCell ref="A29:B29"/>
    <mergeCell ref="A123:F123"/>
    <mergeCell ref="A81:B81"/>
    <mergeCell ref="A121:B121"/>
    <mergeCell ref="A69:F69"/>
    <mergeCell ref="A58:B58"/>
    <mergeCell ref="A114:B1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:XFD1048576"/>
    </sheetView>
  </sheetViews>
  <sheetFormatPr baseColWidth="8" defaultRowHeight="14.25"/>
  <cols>
    <col width="10" customWidth="1" style="33" min="1" max="1"/>
    <col width="26" customWidth="1" style="33" min="2" max="2"/>
    <col width="23" customWidth="1" style="33" min="3" max="3"/>
    <col width="13" customWidth="1" style="33" min="4" max="4"/>
    <col width="34" customWidth="1" style="33" min="5" max="5"/>
    <col width="72" customWidth="1" style="33" min="6" max="6"/>
    <col width="9" customWidth="1" style="33" min="7" max="16384"/>
  </cols>
  <sheetData>
    <row r="1" ht="33.95" customHeight="1" s="3">
      <c r="A1" s="71" t="inlineStr">
        <is>
          <t>App → Device 命令详解（二）</t>
        </is>
      </c>
      <c r="B1" s="61" t="n"/>
      <c r="C1" s="61" t="n"/>
      <c r="D1" s="61" t="n"/>
      <c r="E1" s="61" t="n"/>
      <c r="F1" s="143" t="n"/>
    </row>
    <row r="2" ht="21.95" customHeight="1" s="3">
      <c r="A2" s="87" t="inlineStr">
        <is>
          <t>单位：字节（Byte）；1+N = 1 字节长度前缀 + N 字节内容；… 表示偏移随变长字段累积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85" t="inlineStr">
        <is>
          <t>§4.7  DayPack（0x10）</t>
        </is>
      </c>
      <c r="B4" s="61" t="n"/>
      <c r="C4" s="61" t="n"/>
      <c r="D4" s="61" t="n"/>
      <c r="E4" s="61" t="n"/>
      <c r="F4" s="143" t="n"/>
    </row>
    <row r="5" ht="51" customHeight="1" s="3">
      <c r="A5" s="76" t="inlineStr">
        <is>
          <t>方向：App → Device（FFE1 Write）｜传输：分包（11B 头）｜用途：设备「概览」帧的完整每日数据包｜v2.5.0 破坏性重写；全字段按序存在、无条件写入，空字符串 = 1 字节 0x00；明文（secure 模式经 0x7E 封装）</t>
        </is>
      </c>
      <c r="B5" s="61" t="n"/>
      <c r="C5" s="61" t="n"/>
      <c r="D5" s="61" t="n"/>
      <c r="E5" s="61" t="n"/>
      <c r="F5" s="143" t="n"/>
    </row>
    <row r="6" ht="21.95" customHeight="1" s="3">
      <c r="A6" s="39" t="inlineStr">
        <is>
          <t>偏移(字节)</t>
        </is>
      </c>
      <c r="B6" s="39" t="inlineStr">
        <is>
          <t>字段</t>
        </is>
      </c>
      <c r="C6" s="39" t="inlineStr">
        <is>
          <t>大小(字节)</t>
        </is>
      </c>
      <c r="D6" s="39" t="inlineStr">
        <is>
          <t>上限(字节)</t>
        </is>
      </c>
      <c r="E6" s="39" t="inlineStr">
        <is>
          <t>取值/枚举</t>
        </is>
      </c>
      <c r="F6" s="39" t="inlineStr">
        <is>
          <t>说明</t>
        </is>
      </c>
    </row>
    <row r="7" ht="29.1" customHeight="1" s="3">
      <c r="A7" s="47" t="n">
        <v>0</v>
      </c>
      <c r="B7" s="47" t="inlineStr">
        <is>
          <t>Year</t>
        </is>
      </c>
      <c r="C7" s="47" t="n">
        <v>1</v>
      </c>
      <c r="D7" s="47" t="inlineStr">
        <is>
          <t>-</t>
        </is>
      </c>
      <c r="E7" s="47" t="inlineStr">
        <is>
          <t>年份-2000</t>
        </is>
      </c>
      <c r="F7" s="47" t="inlineStr">
        <is>
          <t>例如 26 = 2026</t>
        </is>
      </c>
    </row>
    <row r="8" ht="29.1" customHeight="1" s="3">
      <c r="A8" s="48" t="n">
        <v>1</v>
      </c>
      <c r="B8" s="48" t="inlineStr">
        <is>
          <t>Month</t>
        </is>
      </c>
      <c r="C8" s="48" t="n">
        <v>1</v>
      </c>
      <c r="D8" s="48" t="inlineStr">
        <is>
          <t>-</t>
        </is>
      </c>
      <c r="E8" s="48" t="inlineStr">
        <is>
          <t>1–12</t>
        </is>
      </c>
      <c r="F8" s="48" t="inlineStr">
        <is>
          <t>月份</t>
        </is>
      </c>
    </row>
    <row r="9" ht="29.1" customHeight="1" s="3">
      <c r="A9" s="47" t="n">
        <v>2</v>
      </c>
      <c r="B9" s="47" t="inlineStr">
        <is>
          <t>Day</t>
        </is>
      </c>
      <c r="C9" s="47" t="n">
        <v>1</v>
      </c>
      <c r="D9" s="47" t="inlineStr">
        <is>
          <t>-</t>
        </is>
      </c>
      <c r="E9" s="47" t="inlineStr">
        <is>
          <t>1–31</t>
        </is>
      </c>
      <c r="F9" s="47" t="inlineStr">
        <is>
          <t>日期</t>
        </is>
      </c>
    </row>
    <row r="10" ht="29.1" customHeight="1" s="3">
      <c r="A10" s="48" t="n">
        <v>3</v>
      </c>
      <c r="B10" s="48" t="inlineStr">
        <is>
          <t>DeviceMode</t>
        </is>
      </c>
      <c r="C10" s="48" t="n">
        <v>1</v>
      </c>
      <c r="D10" s="48" t="inlineStr">
        <is>
          <t>-</t>
        </is>
      </c>
      <c r="E10" s="48" t="inlineStr">
        <is>
          <t>0x00 / 0x01</t>
        </is>
      </c>
      <c r="F10" s="48" t="inlineStr">
        <is>
          <t>0x00=Interactive，0x01=Focus；设置类快照，App 当前恒发 0x00，不得用于判定专注态</t>
        </is>
      </c>
    </row>
    <row r="11" ht="29.1" customHeight="1" s="3">
      <c r="A11" s="47" t="n">
        <v>4</v>
      </c>
      <c r="B11" s="47" t="inlineStr">
        <is>
          <t>FocusChallengeEnabled</t>
        </is>
      </c>
      <c r="C11" s="47" t="n">
        <v>1</v>
      </c>
      <c r="D11" s="47" t="inlineStr">
        <is>
          <t>-</t>
        </is>
      </c>
      <c r="E11" s="47" t="inlineStr">
        <is>
          <t>0x00 / 0x01</t>
        </is>
      </c>
      <c r="F11" s="47" t="inlineStr">
        <is>
          <t>0x00=禁用，0x01=启用</t>
        </is>
      </c>
    </row>
    <row r="12" ht="29.1" customHeight="1" s="3">
      <c r="A12" s="48" t="n">
        <v>5</v>
      </c>
      <c r="B12" s="48" t="inlineStr">
        <is>
          <t>PetDialogue</t>
        </is>
      </c>
      <c r="C12" s="48" t="inlineStr">
        <is>
          <t>1+N</t>
        </is>
      </c>
      <c r="D12" s="48" t="n">
        <v>120</v>
      </c>
      <c r="E12" s="48" t="inlineStr">
        <is>
          <t>长度前缀字符串</t>
        </is>
      </c>
      <c r="F12" s="48" t="inlineStr">
        <is>
          <t>宠物气泡（阶段感知，早安/陪伴/结算同一句变脸）</t>
        </is>
      </c>
    </row>
    <row r="13" ht="29.1" customHeight="1" s="3">
      <c r="A13" s="47" t="inlineStr">
        <is>
          <t>...</t>
        </is>
      </c>
      <c r="B13" s="47" t="inlineStr">
        <is>
          <t>EventCount</t>
        </is>
      </c>
      <c r="C13" s="47" t="n">
        <v>1</v>
      </c>
      <c r="D13" s="47" t="inlineStr">
        <is>
          <t>-</t>
        </is>
      </c>
      <c r="E13" s="47" t="inlineStr">
        <is>
          <t>0–N</t>
        </is>
      </c>
      <c r="F13" s="47" t="inlineStr">
        <is>
          <t>今日事件数</t>
        </is>
      </c>
    </row>
    <row r="14" ht="29.1" customHeight="1" s="3">
      <c r="A14" s="48" t="inlineStr">
        <is>
          <t>...</t>
        </is>
      </c>
      <c r="B14" s="48" t="inlineStr">
        <is>
          <t>Events[]</t>
        </is>
      </c>
      <c r="C14" s="48" t="inlineStr">
        <is>
          <t>变长</t>
        </is>
      </c>
      <c r="D14" s="48" t="inlineStr">
        <is>
          <t>-</t>
        </is>
      </c>
      <c r="E14" s="48" t="inlineStr">
        <is>
          <t>见「子结构与记录」页</t>
        </is>
      </c>
      <c r="F14" s="48" t="inlineStr">
        <is>
          <t>事件列表；每条 6 字段（Time/Title/Description/Category/EndTime/SupportText）</t>
        </is>
      </c>
    </row>
    <row r="15" ht="29.1" customHeight="1" s="3">
      <c r="A15" s="47" t="inlineStr">
        <is>
          <t>...</t>
        </is>
      </c>
      <c r="B15" s="47" t="inlineStr">
        <is>
          <t>TaskCount</t>
        </is>
      </c>
      <c r="C15" s="47" t="n">
        <v>1</v>
      </c>
      <c r="D15" s="47" t="inlineStr">
        <is>
          <t>-</t>
        </is>
      </c>
      <c r="E15" s="47" t="inlineStr">
        <is>
          <t>0–5</t>
        </is>
      </c>
      <c r="F15" s="47" t="inlineStr">
        <is>
          <t>置顶任务数量（4寸≤3 / 7.3寸≤5）</t>
        </is>
      </c>
    </row>
    <row r="16" ht="29.1" customHeight="1" s="3">
      <c r="A16" s="48" t="inlineStr">
        <is>
          <t>...</t>
        </is>
      </c>
      <c r="B16" s="48" t="inlineStr">
        <is>
          <t>TopTasks[]</t>
        </is>
      </c>
      <c r="C16" s="48" t="inlineStr">
        <is>
          <t>变长</t>
        </is>
      </c>
      <c r="D16" s="48" t="inlineStr">
        <is>
          <t>-</t>
        </is>
      </c>
      <c r="E16" s="48" t="inlineStr">
        <is>
          <t>见「子结构与记录」页</t>
        </is>
      </c>
      <c r="F16" s="48" t="inlineStr">
        <is>
          <t>置顶任务；每条 4 字段（TaskId/Title/IsCompleted/Priority）</t>
        </is>
      </c>
    </row>
    <row r="17" ht="29.1" customHeight="1" s="3">
      <c r="A17" s="47" t="inlineStr">
        <is>
          <t>...</t>
        </is>
      </c>
      <c r="B17" s="47" t="inlineStr">
        <is>
          <t>SettlementData</t>
        </is>
      </c>
      <c r="C17" s="47" t="n">
        <v>10</v>
      </c>
      <c r="D17" s="47" t="inlineStr">
        <is>
          <t>-</t>
        </is>
      </c>
      <c r="E17" s="47" t="inlineStr">
        <is>
          <t>定长数值</t>
        </is>
      </c>
      <c r="F17" s="47" t="inlineStr">
        <is>
          <t>进度/专注数值，固定 10B（见「子结构与记录」页）</t>
        </is>
      </c>
    </row>
    <row r="18" ht="29.1" customHeight="1" s="3">
      <c r="A18" s="48" t="inlineStr">
        <is>
          <t>...</t>
        </is>
      </c>
      <c r="B18" s="48" t="inlineStr">
        <is>
          <t>DaySummary</t>
        </is>
      </c>
      <c r="C18" s="48" t="inlineStr">
        <is>
          <t>1+N</t>
        </is>
      </c>
      <c r="D18" s="48" t="n">
        <v>180</v>
      </c>
      <c r="E18" s="48" t="inlineStr">
        <is>
          <t>长度前缀字符串</t>
        </is>
      </c>
      <c r="F18" s="48" t="inlineStr">
        <is>
          <t>一天总结（情绪向，只谈日程 + 一条建议）；空串=尚未生成</t>
        </is>
      </c>
    </row>
    <row r="19" ht="29.1" customHeight="1" s="3">
      <c r="A19" s="47" t="inlineStr">
        <is>
          <t>...</t>
        </is>
      </c>
      <c r="B19" s="47" t="inlineStr">
        <is>
          <t>FirstUp</t>
        </is>
      </c>
      <c r="C19" s="47" t="inlineStr">
        <is>
          <t>1+N</t>
        </is>
      </c>
      <c r="D19" s="47" t="n">
        <v>60</v>
      </c>
      <c r="E19" s="47" t="inlineStr">
        <is>
          <t>长度前缀字符串</t>
        </is>
      </c>
      <c r="F19" s="47" t="inlineStr">
        <is>
          <t>「First up:」下一项内容，App 算好下发</t>
        </is>
      </c>
    </row>
    <row r="20" ht="29.1" customHeight="1" s="3">
      <c r="A20" s="48" t="inlineStr">
        <is>
          <t>...</t>
        </is>
      </c>
      <c r="B20" s="48" t="inlineStr">
        <is>
          <t>SettlementReview</t>
        </is>
      </c>
      <c r="C20" s="48" t="inlineStr">
        <is>
          <t>1+N</t>
        </is>
      </c>
      <c r="D20" s="48" t="n">
        <v>180</v>
      </c>
      <c r="E20" s="48" t="inlineStr">
        <is>
          <t>长度前缀字符串</t>
        </is>
      </c>
      <c r="F20" s="48" t="inlineStr">
        <is>
          <t>每日总结页·概况点评（v2.6.0）；空串=尚未生成</t>
        </is>
      </c>
    </row>
    <row r="21" ht="29.1" customHeight="1" s="3">
      <c r="A21" s="47" t="inlineStr">
        <is>
          <t>...</t>
        </is>
      </c>
      <c r="B21" s="47" t="inlineStr">
        <is>
          <t>SettlementQuote</t>
        </is>
      </c>
      <c r="C21" s="47" t="inlineStr">
        <is>
          <t>1+N</t>
        </is>
      </c>
      <c r="D21" s="47" t="n">
        <v>120</v>
      </c>
      <c r="E21" s="47" t="inlineStr">
        <is>
          <t>长度前缀字符串</t>
        </is>
      </c>
      <c r="F21" s="47" t="inlineStr">
        <is>
          <t>每日总结页·金句/明日鼓励（v2.6.0）；DayPack 当前最后一个字段</t>
        </is>
      </c>
    </row>
    <row r="22" ht="29.1" customHeight="1" s="3">
      <c r="A22" s="77" t="inlineStr">
        <is>
          <t>Payload 总长（字节）</t>
        </is>
      </c>
      <c r="B22" s="143" t="n"/>
      <c r="C22" s="49" t="inlineStr">
        <is>
          <t>变长</t>
        </is>
      </c>
      <c r="D22" s="78" t="inlineStr">
        <is>
          <t>可变：前 5B 定长 + PetDialogue 起全为变长流（含 Events[]/TopTasks[]），固件必须顺序流式解析</t>
        </is>
      </c>
      <c r="E22" s="61" t="n"/>
      <c r="F22" s="143" t="n"/>
    </row>
    <row r="23" ht="29.1" customHeight="1" s="3">
      <c r="A23" s="77" t="inlineStr">
        <is>
          <t>完整帧长（字节）</t>
        </is>
      </c>
      <c r="B23" s="143" t="n"/>
      <c r="C23" s="49" t="inlineStr">
        <is>
          <t>简单包 / 分包（11B 头）</t>
        </is>
      </c>
      <c r="D23" s="78" t="inlineStr">
        <is>
          <t>分包：Type(1B) + MessageId(2B) + Seq(2B) + Total(2B) + PayloadLen(2B) + CRC16(2B) + Payload</t>
        </is>
      </c>
      <c r="E23" s="61" t="n"/>
      <c r="F23" s="143" t="n"/>
    </row>
    <row r="24"/>
    <row r="25" ht="24" customHeight="1" s="3">
      <c r="A25" s="85" t="inlineStr">
        <is>
          <t>§4.8  TaskInPage（0x11）</t>
        </is>
      </c>
      <c r="B25" s="61" t="n"/>
      <c r="C25" s="61" t="n"/>
      <c r="D25" s="61" t="n"/>
      <c r="E25" s="61" t="n"/>
      <c r="F25" s="143" t="n"/>
    </row>
    <row r="26" ht="36" customHeight="1" s="3">
      <c r="A26" s="76" t="inlineStr">
        <is>
          <t>方向：App → Device（FFE1 Write）｜传输：分包（11B 头）｜用途：任务详情页数据（页面 3）；明文（secure 模式经 0x7E 封装）</t>
        </is>
      </c>
      <c r="B26" s="61" t="n"/>
      <c r="C26" s="61" t="n"/>
      <c r="D26" s="61" t="n"/>
      <c r="E26" s="61" t="n"/>
      <c r="F26" s="143" t="n"/>
    </row>
    <row r="27" ht="21.95" customHeight="1" s="3">
      <c r="A27" s="39" t="inlineStr">
        <is>
          <t>偏移(字节)</t>
        </is>
      </c>
      <c r="B27" s="39" t="inlineStr">
        <is>
          <t>字段</t>
        </is>
      </c>
      <c r="C27" s="39" t="inlineStr">
        <is>
          <t>大小(字节)</t>
        </is>
      </c>
      <c r="D27" s="39" t="inlineStr">
        <is>
          <t>上限(字节)</t>
        </is>
      </c>
      <c r="E27" s="39" t="inlineStr">
        <is>
          <t>取值/枚举</t>
        </is>
      </c>
      <c r="F27" s="39" t="inlineStr">
        <is>
          <t>说明</t>
        </is>
      </c>
    </row>
    <row r="28" ht="29.1" customHeight="1" s="3">
      <c r="A28" s="47" t="n">
        <v>0</v>
      </c>
      <c r="B28" s="47" t="inlineStr">
        <is>
          <t>TaskId</t>
        </is>
      </c>
      <c r="C28" s="47" t="inlineStr">
        <is>
          <t>1+N</t>
        </is>
      </c>
      <c r="D28" s="47" t="n">
        <v>36</v>
      </c>
      <c r="E28" s="47" t="inlineStr">
        <is>
          <t>长度前缀字符串</t>
        </is>
      </c>
      <c r="F28" s="47" t="inlineStr">
        <is>
          <t>与 Overview 条目一致的硬件任务 ID</t>
        </is>
      </c>
    </row>
    <row r="29" ht="29.1" customHeight="1" s="3">
      <c r="A29" s="48" t="inlineStr">
        <is>
          <t>N+1</t>
        </is>
      </c>
      <c r="B29" s="48" t="inlineStr">
        <is>
          <t>TaskTitle</t>
        </is>
      </c>
      <c r="C29" s="48" t="inlineStr">
        <is>
          <t>1+N</t>
        </is>
      </c>
      <c r="D29" s="48" t="n">
        <v>40</v>
      </c>
      <c r="E29" s="48" t="inlineStr">
        <is>
          <t>长度前缀字符串</t>
        </is>
      </c>
      <c r="F29" s="48" t="inlineStr">
        <is>
          <t>任务标题</t>
        </is>
      </c>
    </row>
    <row r="30" ht="29.1" customHeight="1" s="3">
      <c r="A30" s="47" t="inlineStr">
        <is>
          <t>...</t>
        </is>
      </c>
      <c r="B30" s="47" t="inlineStr">
        <is>
          <t>TaskDescription</t>
        </is>
      </c>
      <c r="C30" s="47" t="inlineStr">
        <is>
          <t>1+N</t>
        </is>
      </c>
      <c r="D30" s="47" t="n">
        <v>100</v>
      </c>
      <c r="E30" s="47" t="inlineStr">
        <is>
          <t>长度前缀字符串</t>
        </is>
      </c>
      <c r="F30" s="47" t="inlineStr">
        <is>
          <t>任务描述</t>
        </is>
      </c>
    </row>
    <row r="31" ht="29.1" customHeight="1" s="3">
      <c r="A31" s="48" t="inlineStr">
        <is>
          <t>...</t>
        </is>
      </c>
      <c r="B31" s="48" t="inlineStr">
        <is>
          <t>Encouragement</t>
        </is>
      </c>
      <c r="C31" s="48" t="inlineStr">
        <is>
          <t>1+N</t>
        </is>
      </c>
      <c r="D31" s="48" t="n">
        <v>80</v>
      </c>
      <c r="E31" s="48" t="inlineStr">
        <is>
          <t>长度前缀字符串</t>
        </is>
      </c>
      <c r="F31" s="48" t="inlineStr">
        <is>
          <t>v2.10.0 起改装「支持性文字」，恒按 Deep Work 规则生成；空串合法（不渲染该行）</t>
        </is>
      </c>
    </row>
    <row r="32" ht="29.1" customHeight="1" s="3">
      <c r="A32" s="47" t="inlineStr">
        <is>
          <t>...</t>
        </is>
      </c>
      <c r="B32" s="47" t="inlineStr">
        <is>
          <t>FocusChallengeActive</t>
        </is>
      </c>
      <c r="C32" s="47" t="n">
        <v>1</v>
      </c>
      <c r="D32" s="47" t="inlineStr">
        <is>
          <t>-</t>
        </is>
      </c>
      <c r="E32" s="47" t="inlineStr">
        <is>
          <t>0x00 / 0x01</t>
        </is>
      </c>
      <c r="F32" s="47" t="inlineStr">
        <is>
          <t>0x00=未激活，0x01=已激活</t>
        </is>
      </c>
    </row>
    <row r="33" ht="29.1" customHeight="1" s="3">
      <c r="A33" s="77" t="inlineStr">
        <is>
          <t>Payload 总长（字节）</t>
        </is>
      </c>
      <c r="B33" s="143" t="n"/>
      <c r="C33" s="49" t="inlineStr">
        <is>
          <t>变长</t>
        </is>
      </c>
      <c r="D33" s="78" t="inlineStr">
        <is>
          <t>可变：TaskId(1+N≤36) + TaskTitle(1+N≤40) + TaskDescription(1+N≤100) + Encouragement(1+N≤80) + FocusChallengeActive(1)</t>
        </is>
      </c>
      <c r="E33" s="61" t="n"/>
      <c r="F33" s="143" t="n"/>
    </row>
    <row r="34" ht="29.1" customHeight="1" s="3">
      <c r="A34" s="77" t="inlineStr">
        <is>
          <t>完整帧长（字节）</t>
        </is>
      </c>
      <c r="B34" s="143" t="n"/>
      <c r="C34" s="49" t="inlineStr">
        <is>
          <t>简单包 / 分包（11B 头）</t>
        </is>
      </c>
      <c r="D34" s="78" t="inlineStr">
        <is>
          <t>分包：Type(1B) + MessageId(2B) + Seq(2B) + Total(2B) + PayloadLen(2B) + CRC16(2B) + Payload</t>
        </is>
      </c>
      <c r="E34" s="61" t="n"/>
      <c r="F34" s="143" t="n"/>
    </row>
    <row r="35"/>
    <row r="36" ht="24" customHeight="1" s="3">
      <c r="A36" s="83" t="inlineStr">
        <is>
          <t>§4.11  FocusStatus（0x14，SubVersion 0x02）</t>
        </is>
      </c>
      <c r="B36" s="61" t="n"/>
      <c r="C36" s="61" t="n"/>
      <c r="D36" s="61" t="n"/>
      <c r="E36" s="61" t="n"/>
      <c r="F36" s="143" t="n"/>
    </row>
    <row r="37" ht="36" customHeight="1" s="3">
      <c r="A37" s="84" t="inlineStr">
        <is>
          <t>方向：App → Device（FFE1 Write）｜传输：简单包｜用途：同步完成后的权威专注状态；同步裁决完成前不得覆盖设备离线状态；FocusRevision=0 仅表示无有效版本，首个有效版本从 1 开始；详见「专注重连-1.2」页</t>
        </is>
      </c>
      <c r="B37" s="61" t="n"/>
      <c r="C37" s="61" t="n"/>
      <c r="D37" s="61" t="n"/>
      <c r="E37" s="61" t="n"/>
      <c r="F37" s="143" t="n"/>
    </row>
    <row r="38" ht="21.95" customHeight="1" s="3">
      <c r="A38" s="34" t="inlineStr">
        <is>
          <t>偏移(字节)</t>
        </is>
      </c>
      <c r="B38" s="34" t="inlineStr">
        <is>
          <t>字段</t>
        </is>
      </c>
      <c r="C38" s="34" t="inlineStr">
        <is>
          <t>大小(字节)</t>
        </is>
      </c>
      <c r="D38" s="34" t="inlineStr">
        <is>
          <t>上限(字节)</t>
        </is>
      </c>
      <c r="E38" s="34" t="inlineStr">
        <is>
          <t>取值/枚举</t>
        </is>
      </c>
      <c r="F38" s="34" t="inlineStr">
        <is>
          <t>说明</t>
        </is>
      </c>
    </row>
    <row r="39" ht="29.1" customHeight="1" s="3">
      <c r="A39" s="35" t="inlineStr">
        <is>
          <t>0</t>
        </is>
      </c>
      <c r="B39" s="35" t="inlineStr">
        <is>
          <t>SubVersion</t>
        </is>
      </c>
      <c r="C39" s="35" t="inlineStr">
        <is>
          <t>1</t>
        </is>
      </c>
      <c r="D39" s="35" t="inlineStr">
        <is>
          <t>-</t>
        </is>
      </c>
      <c r="E39" s="35" t="inlineStr">
        <is>
          <t>固定 0x02</t>
        </is>
      </c>
      <c r="F39" s="35" t="inlineStr">
        <is>
          <t>旧版 0x14 仅用于不支持 v2 的固件</t>
        </is>
      </c>
    </row>
    <row r="40" ht="29.1" customHeight="1" s="3">
      <c r="A40" s="36" t="inlineStr">
        <is>
          <t>1..4</t>
        </is>
      </c>
      <c r="B40" s="36" t="inlineStr">
        <is>
          <t>FocusRevision</t>
        </is>
      </c>
      <c r="C40" s="36" t="inlineStr">
        <is>
          <t>4</t>
        </is>
      </c>
      <c r="D40" s="36" t="inlineStr">
        <is>
          <t>-</t>
        </is>
      </c>
      <c r="E40" s="36" t="inlineStr">
        <is>
          <t>UInt32 BE</t>
        </is>
      </c>
      <c r="F40" s="36" t="inlineStr">
        <is>
          <t>0 仅表示无有效版本，首个有效版本为 1；每个不同的完整 0x14 内容必须严格递增；相同 revision 只允许原字节重试同一冻结内容；不得回绕到 0；小于设备已应用版本时必须拒绝</t>
        </is>
      </c>
    </row>
    <row r="41" ht="29.1" customHeight="1" s="3">
      <c r="A41" s="35" t="inlineStr">
        <is>
          <t>5..12</t>
        </is>
      </c>
      <c r="B41" s="35" t="inlineStr">
        <is>
          <t>FocusSessionId</t>
        </is>
      </c>
      <c r="C41" s="35" t="inlineStr">
        <is>
          <t>8</t>
        </is>
      </c>
      <c r="D41" s="35" t="inlineStr">
        <is>
          <t>-</t>
        </is>
      </c>
      <c r="E41" s="35" t="inlineStr">
        <is>
          <t>8B 原始会话 ID</t>
        </is>
      </c>
      <c r="F41" s="35" t="inlineStr">
        <is>
          <t>BootSessionId(4B)+StartOperationID(4B)</t>
        </is>
      </c>
    </row>
    <row r="42" ht="29.1" customHeight="1" s="3">
      <c r="A42" s="36" t="inlineStr">
        <is>
          <t>13..19</t>
        </is>
      </c>
      <c r="B42" s="36" t="inlineStr">
        <is>
          <t>StatusBlock</t>
        </is>
      </c>
      <c r="C42" s="36" t="inlineStr">
        <is>
          <t>7</t>
        </is>
      </c>
      <c r="D42" s="36" t="inlineStr">
        <is>
          <t>-</t>
        </is>
      </c>
      <c r="E42" s="36" t="inlineStr">
        <is>
          <t>State(1)+Phase(1)+Bottles(1)+ElapsedSeconds(4)</t>
        </is>
      </c>
      <c r="F42" s="36" t="inlineStr">
        <is>
          <t>阶段和瓶子按权威时长派生，不做双方累加</t>
        </is>
      </c>
    </row>
    <row r="43" ht="29.1" customHeight="1" s="3">
      <c r="A43" s="35" t="inlineStr">
        <is>
          <t>20..</t>
        </is>
      </c>
      <c r="B43" s="35" t="inlineStr">
        <is>
          <t>TaskTitle + SegmentSeconds</t>
        </is>
      </c>
      <c r="C43" s="35" t="inlineStr">
        <is>
          <t>1+N+4</t>
        </is>
      </c>
      <c r="D43" s="35" t="inlineStr">
        <is>
          <t>N≤40</t>
        </is>
      </c>
      <c r="E43" s="35" t="inlineStr">
        <is>
          <t>TaskTitleLength(1)+TaskTitle(N)+SegmentSeconds(4)</t>
        </is>
      </c>
      <c r="F43" s="35" t="inlineStr">
        <is>
          <t>秒级同步；当前未打断连续时长</t>
        </is>
      </c>
    </row>
    <row r="44" ht="29.1" customHeight="1" s="3">
      <c r="A44" s="88" t="inlineStr">
        <is>
          <t>Payload 总长（字节）</t>
        </is>
      </c>
      <c r="B44" s="143" t="n"/>
      <c r="C44" s="49" t="inlineStr">
        <is>
          <t>25+N</t>
        </is>
      </c>
      <c r="D44" s="86" t="inlineStr">
        <is>
          <t>固定头 20B + TaskTitle(1+N) + SegmentSeconds(4)</t>
        </is>
      </c>
      <c r="E44" s="61" t="n"/>
      <c r="F44" s="143" t="n"/>
    </row>
    <row r="45" ht="29.1" customHeight="1" s="3">
      <c r="A45" s="88" t="inlineStr">
        <is>
          <t>完整帧长（字节）</t>
        </is>
      </c>
      <c r="B45" s="143" t="n"/>
      <c r="C45" s="49" t="inlineStr">
        <is>
          <t>3 + Payload（变长）</t>
        </is>
      </c>
      <c r="D45" s="86" t="inlineStr">
        <is>
          <t>简单包：Type(1B) + Length(2B, BE) + Payload</t>
        </is>
      </c>
      <c r="E45" s="61" t="n"/>
      <c r="F45" s="143" t="n"/>
    </row>
    <row r="46"/>
    <row r="47" ht="24" customHeight="1" s="3">
      <c r="A47" s="85" t="inlineStr">
        <is>
          <t>§4.12  CustomAvatarFrame（0x15）</t>
        </is>
      </c>
      <c r="B47" s="61" t="n"/>
      <c r="C47" s="61" t="n"/>
      <c r="D47" s="61" t="n"/>
      <c r="E47" s="61" t="n"/>
      <c r="F47" s="143" t="n"/>
    </row>
    <row r="48" ht="51" customHeight="1" s="3">
      <c r="A48" s="76" t="inlineStr">
        <is>
          <t>方向：App → Device（FFE1 Write）｜传输：分包（11B 头）｜用途：候选头像暂存帧（v4，唯一可接受版本）｜重组后 payload 上限 29 + 2,240,012 = 2,240,041B；v2.7 起只暂存，不直接切换显示；明文（secure 模式经 0x7E 封装）</t>
        </is>
      </c>
      <c r="B48" s="61" t="n"/>
      <c r="C48" s="61" t="n"/>
      <c r="D48" s="61" t="n"/>
      <c r="E48" s="61" t="n"/>
      <c r="F48" s="143" t="n"/>
    </row>
    <row r="49" ht="21.95" customHeight="1" s="3">
      <c r="A49" s="39" t="inlineStr">
        <is>
          <t>偏移(字节)</t>
        </is>
      </c>
      <c r="B49" s="39" t="inlineStr">
        <is>
          <t>字段</t>
        </is>
      </c>
      <c r="C49" s="39" t="inlineStr">
        <is>
          <t>大小(字节)</t>
        </is>
      </c>
      <c r="D49" s="39" t="inlineStr">
        <is>
          <t>上限(字节)</t>
        </is>
      </c>
      <c r="E49" s="39" t="inlineStr">
        <is>
          <t>取值/枚举</t>
        </is>
      </c>
      <c r="F49" s="39" t="inlineStr">
        <is>
          <t>说明</t>
        </is>
      </c>
    </row>
    <row r="50" ht="29.1" customHeight="1" s="3">
      <c r="A50" s="47" t="n">
        <v>0</v>
      </c>
      <c r="B50" s="47" t="inlineStr">
        <is>
          <t>SubVersion</t>
        </is>
      </c>
      <c r="C50" s="47" t="n">
        <v>1</v>
      </c>
      <c r="D50" s="47" t="inlineStr">
        <is>
          <t>-</t>
        </is>
      </c>
      <c r="E50" s="47" t="inlineStr">
        <is>
          <t>固定 0x04</t>
        </is>
      </c>
      <c r="F50" s="47" t="inlineStr">
        <is>
          <t>0x01/0x02/0x03 已废弃，收到时丢弃整帧</t>
        </is>
      </c>
    </row>
    <row r="51" ht="29.1" customHeight="1" s="3">
      <c r="A51" s="48" t="n">
        <v>1</v>
      </c>
      <c r="B51" s="48" t="inlineStr">
        <is>
          <t>OperationID</t>
        </is>
      </c>
      <c r="C51" s="48" t="n">
        <v>4</v>
      </c>
      <c r="D51" s="48" t="inlineStr">
        <is>
          <t>-</t>
        </is>
      </c>
      <c r="E51" s="48" t="inlineStr">
        <is>
          <t>UInt32 BE</t>
        </is>
      </c>
      <c r="F51" s="48" t="inlineStr">
        <is>
          <t>App 生成的单操作身份</t>
        </is>
      </c>
    </row>
    <row r="52" ht="29.1" customHeight="1" s="3">
      <c r="A52" s="47" t="n">
        <v>5</v>
      </c>
      <c r="B52" s="47" t="inlineStr">
        <is>
          <t>AvatarID</t>
        </is>
      </c>
      <c r="C52" s="47" t="n">
        <v>16</v>
      </c>
      <c r="D52" s="47" t="inlineStr">
        <is>
          <t>-</t>
        </is>
      </c>
      <c r="E52" s="47" t="inlineStr">
        <is>
          <t>16 原始字节</t>
        </is>
      </c>
      <c r="F52" s="47" t="inlineStr">
        <is>
          <t>自定义伴侣 UUID；擦除与提交均按此精确匹配</t>
        </is>
      </c>
    </row>
    <row r="53" ht="29.1" customHeight="1" s="3">
      <c r="A53" s="48" t="n">
        <v>21</v>
      </c>
      <c r="B53" s="48" t="inlineStr">
        <is>
          <t>FileLength</t>
        </is>
      </c>
      <c r="C53" s="48" t="n">
        <v>4</v>
      </c>
      <c r="D53" s="48" t="inlineStr">
        <is>
          <t>-</t>
        </is>
      </c>
      <c r="E53" s="48" t="inlineStr">
        <is>
          <t>UInt32 BE</t>
        </is>
      </c>
      <c r="F53" s="48" t="inlineStr">
        <is>
          <t>必须严格等于 KRIFile 字节数</t>
        </is>
      </c>
    </row>
    <row r="54" ht="29.1" customHeight="1" s="3">
      <c r="A54" s="47" t="n">
        <v>25</v>
      </c>
      <c r="B54" s="47" t="inlineStr">
        <is>
          <t>FileCRC32</t>
        </is>
      </c>
      <c r="C54" s="47" t="n">
        <v>4</v>
      </c>
      <c r="D54" s="47" t="inlineStr">
        <is>
          <t>-</t>
        </is>
      </c>
      <c r="E54" s="47" t="inlineStr">
        <is>
          <t>CRC-32/IEEE BE</t>
        </is>
      </c>
      <c r="F54" s="47" t="inlineStr">
        <is>
          <t>KRIFile 的校验值</t>
        </is>
      </c>
    </row>
    <row r="55" ht="29.1" customHeight="1" s="3">
      <c r="A55" s="48" t="n">
        <v>29</v>
      </c>
      <c r="B55" s="48" t="inlineStr">
        <is>
          <t>KRIFile</t>
        </is>
      </c>
      <c r="C55" s="48" t="inlineStr">
        <is>
          <t>N</t>
        </is>
      </c>
      <c r="D55" s="48" t="inlineStr">
        <is>
          <t>2,240,012</t>
        </is>
      </c>
      <c r="E55" s="48" t="inlineStr">
        <is>
          <t>KRI v1 文件</t>
        </is>
      </c>
      <c r="F55" s="48" t="inlineStr">
        <is>
          <t>12B 小端文件头 + 直通 alpha BGRA 像素；无压缩、无行 padding、无尾数据</t>
        </is>
      </c>
    </row>
    <row r="56" ht="29.1" customHeight="1" s="3">
      <c r="A56" s="77" t="inlineStr">
        <is>
          <t>Payload 总长（字节）</t>
        </is>
      </c>
      <c r="B56" s="143" t="n"/>
      <c r="C56" s="49" t="inlineStr">
        <is>
          <t>变长</t>
        </is>
      </c>
      <c r="D56" s="78" t="inlineStr">
        <is>
          <t>v4 头固定 29B；KRIFile 最大 2,240,012B</t>
        </is>
      </c>
      <c r="E56" s="61" t="n"/>
      <c r="F56" s="143" t="n"/>
    </row>
    <row r="57" ht="29.1" customHeight="1" s="3">
      <c r="A57" s="77" t="inlineStr">
        <is>
          <t>完整帧长（字节）</t>
        </is>
      </c>
      <c r="B57" s="143" t="n"/>
      <c r="C57" s="49" t="inlineStr">
        <is>
          <t>简单包 / 分包（11B 头）</t>
        </is>
      </c>
      <c r="D57" s="78" t="inlineStr">
        <is>
          <t>分包：Type(1B) + MessageId(2B) + Seq(2B) + Total(2B) + PayloadLen(2B) + CRC16(2B) + Payload</t>
        </is>
      </c>
      <c r="E57" s="61" t="n"/>
      <c r="F57" s="143" t="n"/>
    </row>
    <row r="58"/>
    <row r="59" ht="24" customHeight="1" s="3">
      <c r="A59" s="85" t="inlineStr">
        <is>
          <t>§4.21  TaskListSnapshotAck（0x1B）</t>
        </is>
      </c>
      <c r="B59" s="61" t="n"/>
      <c r="C59" s="61" t="n"/>
      <c r="D59" s="61" t="n"/>
      <c r="E59" s="61" t="n"/>
      <c r="F59" s="143" t="n"/>
    </row>
    <row r="60" ht="51" customHeight="1" s="3">
      <c r="A60" s="76" t="inlineStr">
        <is>
          <t>方向：App → Device（FFE1 Write）｜传输：分包（11B 头）｜用途：完成/跳过/刷新请求的业务确认 + 完整 Overview 任务快照｜固定头 16B + Tasks[]；长 payload 按 §3.2 分包，固件须完整重组后再应用；明文（secure 模式经 0x7E 封装）</t>
        </is>
      </c>
      <c r="B60" s="61" t="n"/>
      <c r="C60" s="61" t="n"/>
      <c r="D60" s="61" t="n"/>
      <c r="E60" s="61" t="n"/>
      <c r="F60" s="143" t="n"/>
    </row>
    <row r="61" ht="21.95" customHeight="1" s="3">
      <c r="A61" s="39" t="inlineStr">
        <is>
          <t>偏移(字节)</t>
        </is>
      </c>
      <c r="B61" s="39" t="inlineStr">
        <is>
          <t>字段</t>
        </is>
      </c>
      <c r="C61" s="39" t="inlineStr">
        <is>
          <t>大小(字节)</t>
        </is>
      </c>
      <c r="D61" s="39" t="inlineStr">
        <is>
          <t>上限(字节)</t>
        </is>
      </c>
      <c r="E61" s="39" t="inlineStr">
        <is>
          <t>取值/枚举</t>
        </is>
      </c>
      <c r="F61" s="39" t="inlineStr">
        <is>
          <t>说明</t>
        </is>
      </c>
    </row>
    <row r="62" ht="29.1" customHeight="1" s="3">
      <c r="A62" s="47" t="n">
        <v>0</v>
      </c>
      <c r="B62" s="47" t="inlineStr">
        <is>
          <t>SubVersion</t>
        </is>
      </c>
      <c r="C62" s="47" t="n">
        <v>1</v>
      </c>
      <c r="D62" s="47" t="inlineStr">
        <is>
          <t>-</t>
        </is>
      </c>
      <c r="E62" s="47" t="inlineStr">
        <is>
          <t>固定 0x01</t>
        </is>
      </c>
      <c r="F62" s="47" t="inlineStr">
        <is>
          <t>其他版本整帧拒绝</t>
        </is>
      </c>
    </row>
    <row r="63" ht="29.1" customHeight="1" s="3">
      <c r="A63" s="48" t="n">
        <v>1</v>
      </c>
      <c r="B63" s="48" t="inlineStr">
        <is>
          <t>Action</t>
        </is>
      </c>
      <c r="C63" s="48" t="n">
        <v>1</v>
      </c>
      <c r="D63" s="48" t="inlineStr">
        <is>
          <t>-</t>
        </is>
      </c>
      <c r="E63" s="48" t="inlineStr">
        <is>
          <t>0x11 / 0x12 / 0x20</t>
        </is>
      </c>
      <c r="F63" s="48" t="inlineStr">
        <is>
          <t>原请求动作：0x11 Complete，0x12 Skip，0x20 Refresh</t>
        </is>
      </c>
    </row>
    <row r="64" ht="29.1" customHeight="1" s="3">
      <c r="A64" s="47" t="n">
        <v>2</v>
      </c>
      <c r="B64" s="47" t="inlineStr">
        <is>
          <t>OperationID</t>
        </is>
      </c>
      <c r="C64" s="47" t="n">
        <v>4</v>
      </c>
      <c r="D64" s="47" t="inlineStr">
        <is>
          <t>-</t>
        </is>
      </c>
      <c r="E64" s="47" t="inlineStr">
        <is>
          <t>UInt32 BE</t>
        </is>
      </c>
      <c r="F64" s="47" t="inlineStr">
        <is>
          <t>原样回显动作 OperationID；对 0x20 回显 RequestID；必须非零</t>
        </is>
      </c>
    </row>
    <row r="65" ht="29.1" customHeight="1" s="3">
      <c r="A65" s="48" t="n">
        <v>6</v>
      </c>
      <c r="B65" s="48" t="inlineStr">
        <is>
          <t>Result</t>
        </is>
      </c>
      <c r="C65" s="48" t="n">
        <v>1</v>
      </c>
      <c r="D65" s="48" t="inlineStr">
        <is>
          <t>-</t>
        </is>
      </c>
      <c r="E65" s="48" t="inlineStr">
        <is>
          <t>见枚举页</t>
        </is>
      </c>
      <c r="F65" s="48" t="inlineStr">
        <is>
          <t>本次业务处理结果（applied / alreadyApplied / taskNotFound / invalidRequest / supersededByApp / internalError）</t>
        </is>
      </c>
    </row>
    <row r="66" ht="29.1" customHeight="1" s="3">
      <c r="A66" s="47" t="n">
        <v>7</v>
      </c>
      <c r="B66" s="47" t="inlineStr">
        <is>
          <t>StateEpoch</t>
        </is>
      </c>
      <c r="C66" s="47" t="n">
        <v>4</v>
      </c>
      <c r="D66" s="47" t="inlineStr">
        <is>
          <t>-</t>
        </is>
      </c>
      <c r="E66" s="47" t="inlineStr">
        <is>
          <t>UInt32 BE</t>
        </is>
      </c>
      <c r="F66" s="47" t="inlineStr">
        <is>
          <t>App 任务快照世代；重装或世代重建后改变</t>
        </is>
      </c>
    </row>
    <row r="67" ht="29.1" customHeight="1" s="3">
      <c r="A67" s="48" t="n">
        <v>11</v>
      </c>
      <c r="B67" s="48" t="inlineStr">
        <is>
          <t>Revision</t>
        </is>
      </c>
      <c r="C67" s="48" t="n">
        <v>4</v>
      </c>
      <c r="D67" s="48" t="inlineStr">
        <is>
          <t>-</t>
        </is>
      </c>
      <c r="E67" s="48" t="inlineStr">
        <is>
          <t>UInt32 BE</t>
        </is>
      </c>
      <c r="F67" s="48" t="inlineStr">
        <is>
          <t>同一 StateEpoch 内严格递增，首个有效快照从 1 开始</t>
        </is>
      </c>
    </row>
    <row r="68" ht="29.1" customHeight="1" s="3">
      <c r="A68" s="47" t="n">
        <v>15</v>
      </c>
      <c r="B68" s="47" t="inlineStr">
        <is>
          <t>TaskCount</t>
        </is>
      </c>
      <c r="C68" s="47" t="n">
        <v>1</v>
      </c>
      <c r="D68" s="47" t="inlineStr">
        <is>
          <t>-</t>
        </is>
      </c>
      <c r="E68" s="47" t="inlineStr">
        <is>
          <t>0–5</t>
        </is>
      </c>
      <c r="F68" s="47" t="inlineStr">
        <is>
          <t>完整 Overview 清单条数：4寸 0–3，7.3寸 0–5</t>
        </is>
      </c>
    </row>
    <row r="69" ht="29.1" customHeight="1" s="3">
      <c r="A69" s="48" t="inlineStr">
        <is>
          <t>16+</t>
        </is>
      </c>
      <c r="B69" s="48" t="inlineStr">
        <is>
          <t>Tasks[]</t>
        </is>
      </c>
      <c r="C69" s="48" t="inlineStr">
        <is>
          <t>变长</t>
        </is>
      </c>
      <c r="D69" s="48" t="inlineStr">
        <is>
          <t>-</t>
        </is>
      </c>
      <c r="E69" s="48" t="inlineStr">
        <is>
          <t>见「子结构与记录」页</t>
        </is>
      </c>
      <c r="F69" s="48" t="inlineStr">
        <is>
          <t>完整替换快照；每条 = TaskIdLength(1)+TaskId(N1≤36)+TitleLength(1)+Title(N2≤30)+IsCompleted(1)+Priority(1)</t>
        </is>
      </c>
    </row>
    <row r="70" ht="29.1" customHeight="1" s="3">
      <c r="A70" s="77" t="inlineStr">
        <is>
          <t>Payload 总长（字节）</t>
        </is>
      </c>
      <c r="B70" s="143" t="n"/>
      <c r="C70" s="49" t="inlineStr">
        <is>
          <t>变长</t>
        </is>
      </c>
      <c r="D70" s="78" t="inlineStr">
        <is>
          <t>固定头 16B（SubVersion..TaskCount）+ Tasks[] 变长</t>
        </is>
      </c>
      <c r="E70" s="61" t="n"/>
      <c r="F70" s="143" t="n"/>
    </row>
    <row r="71" ht="29.1" customHeight="1" s="3">
      <c r="A71" s="77" t="inlineStr">
        <is>
          <t>完整帧长（字节）</t>
        </is>
      </c>
      <c r="B71" s="143" t="n"/>
      <c r="C71" s="49" t="inlineStr">
        <is>
          <t>简单包 / 分包（11B 头）</t>
        </is>
      </c>
      <c r="D71" s="78" t="inlineStr">
        <is>
          <t>分包：Type(1B) + MessageId(2B) + Seq(2B) + Total(2B) + PayloadLen(2B) + CRC16(2B) + Payload</t>
        </is>
      </c>
      <c r="E71" s="61" t="n"/>
      <c r="F71" s="143" t="n"/>
    </row>
    <row r="72"/>
    <row r="73" ht="24" customHeight="1" s="3">
      <c r="A73" s="85" t="inlineStr">
        <is>
          <t>§4.19  AvatarControl（0x22）</t>
        </is>
      </c>
      <c r="B73" s="61" t="n"/>
      <c r="C73" s="61" t="n"/>
      <c r="D73" s="61" t="n"/>
      <c r="E73" s="61" t="n"/>
      <c r="F73" s="143" t="n"/>
    </row>
    <row r="74" ht="36" customHeight="1" s="3">
      <c r="A74" s="76" t="inlineStr">
        <is>
          <t>方向：App → Device（FFE1 Write）｜传输：简单包｜用途：提交 / 擦除 / 查询 / 取消头像事务；明文（secure 模式经 0x7E 封装）</t>
        </is>
      </c>
      <c r="B74" s="61" t="n"/>
      <c r="C74" s="61" t="n"/>
      <c r="D74" s="61" t="n"/>
      <c r="E74" s="61" t="n"/>
      <c r="F74" s="143" t="n"/>
    </row>
    <row r="75" ht="21.95" customHeight="1" s="3">
      <c r="A75" s="39" t="inlineStr">
        <is>
          <t>偏移(字节)</t>
        </is>
      </c>
      <c r="B75" s="39" t="inlineStr">
        <is>
          <t>字段</t>
        </is>
      </c>
      <c r="C75" s="39" t="inlineStr">
        <is>
          <t>大小(字节)</t>
        </is>
      </c>
      <c r="D75" s="39" t="inlineStr">
        <is>
          <t>上限(字节)</t>
        </is>
      </c>
      <c r="E75" s="39" t="inlineStr">
        <is>
          <t>取值/枚举</t>
        </is>
      </c>
      <c r="F75" s="39" t="inlineStr">
        <is>
          <t>说明</t>
        </is>
      </c>
    </row>
    <row r="76" ht="29.1" customHeight="1" s="3">
      <c r="A76" s="47" t="n">
        <v>0</v>
      </c>
      <c r="B76" s="47" t="inlineStr">
        <is>
          <t>Command</t>
        </is>
      </c>
      <c r="C76" s="47" t="n">
        <v>1</v>
      </c>
      <c r="D76" s="47" t="inlineStr">
        <is>
          <t>-</t>
        </is>
      </c>
      <c r="E76" s="47" t="inlineStr">
        <is>
          <t>0x01–0x05</t>
        </is>
      </c>
      <c r="F76" s="47" t="inlineStr">
        <is>
          <t>0x01=commit，0x02=eraseExact，0x03=eraseAll，0x04=query，0x05=abort（详见枚举页）</t>
        </is>
      </c>
    </row>
    <row r="77" ht="29.1" customHeight="1" s="3">
      <c r="A77" s="48" t="n">
        <v>1</v>
      </c>
      <c r="B77" s="48" t="inlineStr">
        <is>
          <t>OperationID</t>
        </is>
      </c>
      <c r="C77" s="48" t="n">
        <v>4</v>
      </c>
      <c r="D77" s="48" t="inlineStr">
        <is>
          <t>-</t>
        </is>
      </c>
      <c r="E77" s="48" t="inlineStr">
        <is>
          <t>UInt32 BE</t>
        </is>
      </c>
      <c r="F77" s="48" t="inlineStr">
        <is>
          <t>头像事务操作 ID</t>
        </is>
      </c>
    </row>
    <row r="78" ht="29.1" customHeight="1" s="3">
      <c r="A78" s="47" t="n">
        <v>5</v>
      </c>
      <c r="B78" s="47" t="inlineStr">
        <is>
          <t>AvatarID</t>
        </is>
      </c>
      <c r="C78" s="47" t="n">
        <v>16</v>
      </c>
      <c r="D78" s="47" t="inlineStr">
        <is>
          <t>-</t>
        </is>
      </c>
      <c r="E78" s="47" t="inlineStr">
        <is>
          <t>16 原始字节</t>
        </is>
      </c>
      <c r="F78" s="47" t="inlineStr">
        <is>
          <t>commit/eraseExact 必填；eraseAll/query/abort 全 16B 为 0</t>
        </is>
      </c>
    </row>
    <row r="79" ht="29.1" customHeight="1" s="3">
      <c r="A79" s="77" t="inlineStr">
        <is>
          <t>Payload 总长（字节）</t>
        </is>
      </c>
      <c r="B79" s="143" t="n"/>
      <c r="C79" s="49">
        <f>SUM(C76:C78)</f>
        <v/>
      </c>
      <c r="D79" s="78" t="inlineStr">
        <is>
          <t>固定长度（字段均为定长字节）</t>
        </is>
      </c>
      <c r="E79" s="61" t="n"/>
      <c r="F79" s="143" t="n"/>
    </row>
    <row r="80" ht="29.1" customHeight="1" s="3">
      <c r="A80" s="77" t="inlineStr">
        <is>
          <t>完整帧长（字节）</t>
        </is>
      </c>
      <c r="B80" s="143" t="n"/>
      <c r="C80" s="49">
        <f>3+C79</f>
        <v/>
      </c>
      <c r="D80" s="78" t="inlineStr">
        <is>
          <t>简单包：Type(1B) + Length(2B, BE) + Payload</t>
        </is>
      </c>
      <c r="E80" s="61" t="n"/>
      <c r="F80" s="143" t="n"/>
    </row>
    <row r="81"/>
    <row r="82" ht="51" customHeight="1" s="3">
      <c r="A82" s="145" t="inlineStr">
        <is>
          <t>约定：大小以字节（Byte）为单位；「1+N」= 1 字节长度前缀 + N 字节内容；「…」表示偏移随前面的变长字段累积；多字节整数一律 Big Endian。来源：Kirole BLE 通信协议规格文档 2.10.1。</t>
        </is>
      </c>
    </row>
  </sheetData>
  <mergeCells count="39">
    <mergeCell ref="A37:F37"/>
    <mergeCell ref="A45:B45"/>
    <mergeCell ref="D70:F70"/>
    <mergeCell ref="A74:F74"/>
    <mergeCell ref="A26:F26"/>
    <mergeCell ref="A70:B70"/>
    <mergeCell ref="A79:B79"/>
    <mergeCell ref="A2:F2"/>
    <mergeCell ref="A47:F47"/>
    <mergeCell ref="D71:F71"/>
    <mergeCell ref="A5:F5"/>
    <mergeCell ref="D56:F56"/>
    <mergeCell ref="A80:B80"/>
    <mergeCell ref="A4:F4"/>
    <mergeCell ref="A56:B56"/>
    <mergeCell ref="D33:F33"/>
    <mergeCell ref="A34:B34"/>
    <mergeCell ref="D23:F23"/>
    <mergeCell ref="A57:B57"/>
    <mergeCell ref="A71:B71"/>
    <mergeCell ref="A33:B33"/>
    <mergeCell ref="D79:F79"/>
    <mergeCell ref="D44:F44"/>
    <mergeCell ref="A48:F48"/>
    <mergeCell ref="A23:B23"/>
    <mergeCell ref="A59:F59"/>
    <mergeCell ref="D34:F34"/>
    <mergeCell ref="A22:B22"/>
    <mergeCell ref="A73:F73"/>
    <mergeCell ref="A82:F82"/>
    <mergeCell ref="A60:F60"/>
    <mergeCell ref="A36:F36"/>
    <mergeCell ref="D80:F80"/>
    <mergeCell ref="A1:F1"/>
    <mergeCell ref="D22:F22"/>
    <mergeCell ref="A44:B44"/>
    <mergeCell ref="D45:F45"/>
    <mergeCell ref="D57:F57"/>
    <mergeCell ref="A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topLeftCell="A11" workbookViewId="0">
      <selection activeCell="H23" sqref="A1:XFD1048576"/>
    </sheetView>
  </sheetViews>
  <sheetFormatPr baseColWidth="8" defaultRowHeight="14.25"/>
  <cols>
    <col width="13.375" customWidth="1" style="33" min="1" max="1"/>
    <col width="45.5" customWidth="1" style="33" min="2" max="2"/>
    <col width="10.125" customWidth="1" style="33" min="3" max="3"/>
    <col width="14" customWidth="1" style="33" min="4" max="4"/>
    <col width="34" customWidth="1" style="33" min="5" max="5"/>
    <col width="70" customWidth="1" style="33" min="6" max="6"/>
    <col width="9" customWidth="1" style="33" min="7" max="16384"/>
  </cols>
  <sheetData>
    <row r="1" ht="33.95" customHeight="1" s="3">
      <c r="A1" s="89" t="inlineStr">
        <is>
          <t>子结构字段表与日志记录格式</t>
        </is>
      </c>
      <c r="B1" s="61" t="n"/>
      <c r="C1" s="61" t="n"/>
      <c r="D1" s="61" t="n"/>
      <c r="E1" s="61" t="n"/>
      <c r="F1" s="143" t="n"/>
    </row>
    <row r="2" ht="21.95" customHeight="1" s="3">
      <c r="A2" s="87" t="inlineStr">
        <is>
          <t>供 0x02 / 0x03 / 0x10 / 0x1B / 0x21 等命令引用 · 单位：字节（Byte）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83" t="inlineStr">
        <is>
          <t>§4.3  TaskList · Task 条目（0x02）（子结构）</t>
        </is>
      </c>
      <c r="B4" s="61" t="n"/>
      <c r="C4" s="61" t="n"/>
      <c r="D4" s="61" t="n"/>
      <c r="E4" s="61" t="n"/>
      <c r="F4" s="143" t="n"/>
    </row>
    <row r="5" ht="21" customHeight="1" s="3">
      <c r="A5" s="84" t="inlineStr">
        <is>
          <t>TaskList(0x02) 内部结构：每条任务条目（由 TaskCount 指定条数，随后顺序编码）</t>
        </is>
      </c>
      <c r="B5" s="61" t="n"/>
      <c r="C5" s="61" t="n"/>
      <c r="D5" s="61" t="n"/>
      <c r="E5" s="61" t="n"/>
      <c r="F5" s="143" t="n"/>
    </row>
    <row r="6" ht="21.95" customHeight="1" s="3">
      <c r="A6" s="34" t="inlineStr">
        <is>
          <t>偏移(字节)</t>
        </is>
      </c>
      <c r="B6" s="34" t="inlineStr">
        <is>
          <t>字段</t>
        </is>
      </c>
      <c r="C6" s="34" t="inlineStr">
        <is>
          <t>大小(字节)</t>
        </is>
      </c>
      <c r="D6" s="34" t="inlineStr">
        <is>
          <t>上限(字节)</t>
        </is>
      </c>
      <c r="E6" s="34" t="inlineStr">
        <is>
          <t>取值/枚举</t>
        </is>
      </c>
      <c r="F6" s="34" t="inlineStr">
        <is>
          <t>说明</t>
        </is>
      </c>
    </row>
    <row r="7" ht="29.1" customHeight="1" s="3">
      <c r="A7" s="35" t="n">
        <v>0</v>
      </c>
      <c r="B7" s="35" t="inlineStr">
        <is>
          <t>TaskIdLength</t>
        </is>
      </c>
      <c r="C7" s="35" t="n">
        <v>1</v>
      </c>
      <c r="D7" s="35" t="inlineStr">
        <is>
          <t>-</t>
        </is>
      </c>
      <c r="E7" s="35" t="inlineStr">
        <is>
          <t>0–36</t>
        </is>
      </c>
      <c r="F7" s="35" t="inlineStr">
        <is>
          <t>TaskId 的 UTF-8 字节数</t>
        </is>
      </c>
    </row>
    <row r="8" ht="29.1" customHeight="1" s="3">
      <c r="A8" s="36" t="n">
        <v>1</v>
      </c>
      <c r="B8" s="36" t="inlineStr">
        <is>
          <t>TaskId</t>
        </is>
      </c>
      <c r="C8" s="36" t="inlineStr">
        <is>
          <t>N1</t>
        </is>
      </c>
      <c r="D8" s="36" t="n">
        <v>36</v>
      </c>
      <c r="E8" s="36" t="inlineStr">
        <is>
          <t>UTF-8</t>
        </is>
      </c>
      <c r="F8" s="36" t="inlineStr">
        <is>
          <t>硬件任务 ID；App 对超长外部 ID 生成 h- + 32 位十六进制摘要</t>
        </is>
      </c>
    </row>
    <row r="9" ht="29.1" customHeight="1" s="3">
      <c r="A9" s="35" t="inlineStr">
        <is>
          <t>1+N1</t>
        </is>
      </c>
      <c r="B9" s="35" t="inlineStr">
        <is>
          <t>TitleLength</t>
        </is>
      </c>
      <c r="C9" s="35" t="n">
        <v>1</v>
      </c>
      <c r="D9" s="35" t="inlineStr">
        <is>
          <t>-</t>
        </is>
      </c>
      <c r="E9" s="35" t="inlineStr">
        <is>
          <t>0–30</t>
        </is>
      </c>
      <c r="F9" s="35" t="inlineStr">
        <is>
          <t>Title 的 UTF-8 字节数</t>
        </is>
      </c>
    </row>
    <row r="10" ht="29.1" customHeight="1" s="3">
      <c r="A10" s="36" t="inlineStr">
        <is>
          <t>...</t>
        </is>
      </c>
      <c r="B10" s="36" t="inlineStr">
        <is>
          <t>Title</t>
        </is>
      </c>
      <c r="C10" s="36" t="inlineStr">
        <is>
          <t>N2</t>
        </is>
      </c>
      <c r="D10" s="36" t="n">
        <v>30</v>
      </c>
      <c r="E10" s="36" t="inlineStr">
        <is>
          <t>UTF-8</t>
        </is>
      </c>
      <c r="F10" s="36" t="inlineStr">
        <is>
          <t>任务标题</t>
        </is>
      </c>
    </row>
    <row r="11" ht="29.1" customHeight="1" s="3">
      <c r="A11" s="35" t="inlineStr">
        <is>
          <t>...</t>
        </is>
      </c>
      <c r="B11" s="35" t="inlineStr">
        <is>
          <t>IsCompleted</t>
        </is>
      </c>
      <c r="C11" s="35" t="n">
        <v>1</v>
      </c>
      <c r="D11" s="35" t="inlineStr">
        <is>
          <t>-</t>
        </is>
      </c>
      <c r="E11" s="35" t="inlineStr">
        <is>
          <t>0x00 / 0x01</t>
        </is>
      </c>
      <c r="F11" s="37" t="inlineStr">
        <is>
          <t>0x00=未完成，0x01=已完成</t>
        </is>
      </c>
    </row>
    <row r="12" ht="29.1" customHeight="1" s="3">
      <c r="A12" s="36" t="inlineStr">
        <is>
          <t>...</t>
        </is>
      </c>
      <c r="B12" s="36" t="inlineStr">
        <is>
          <t>Priority</t>
        </is>
      </c>
      <c r="C12" s="36" t="n">
        <v>1</v>
      </c>
      <c r="D12" s="36" t="inlineStr">
        <is>
          <t>-</t>
        </is>
      </c>
      <c r="E12" s="36" t="inlineStr">
        <is>
          <t>1–3</t>
        </is>
      </c>
      <c r="F12" s="36" t="inlineStr">
        <is>
          <t>优先级</t>
        </is>
      </c>
    </row>
    <row r="13" ht="29.1" customHeight="1" s="3">
      <c r="A13" s="88" t="inlineStr">
        <is>
          <t>Payload 总长（字节）</t>
        </is>
      </c>
      <c r="B13" s="143" t="n"/>
      <c r="C13" s="49" t="inlineStr">
        <is>
          <t>变长</t>
        </is>
      </c>
      <c r="D13" s="86" t="inlineStr">
        <is>
          <t>每条可变：1 + N1 + 1 + N2 + 2（N1≤36，N2≤30）</t>
        </is>
      </c>
      <c r="E13" s="61" t="n"/>
      <c r="F13" s="143" t="n"/>
    </row>
    <row r="14"/>
    <row r="15" ht="30" customHeight="1" s="3">
      <c r="A15" s="83" t="inlineStr">
        <is>
          <t>§4.4  Schedule v2 · Event 条目（0x03，Ver 1.3.0）（子结构）</t>
        </is>
      </c>
      <c r="B15" s="61" t="n"/>
      <c r="C15" s="61" t="n"/>
      <c r="D15" s="61" t="n"/>
      <c r="E15" s="61" t="n"/>
      <c r="F15" s="143" t="n"/>
    </row>
    <row r="16" ht="38.1" customHeight="1" s="3">
      <c r="A16" s="84" t="inlineStr">
        <is>
          <t>Schedule v2（0x03）内部结构：EventCount 之后顺序编码；每条事件固定按 Time、Title、Description、Category、EndTime、SupportText 排列</t>
        </is>
      </c>
      <c r="B16" s="61" t="n"/>
      <c r="C16" s="61" t="n"/>
      <c r="D16" s="61" t="n"/>
      <c r="E16" s="61" t="n"/>
      <c r="F16" s="143" t="n"/>
    </row>
    <row r="17" ht="21.95" customHeight="1" s="3">
      <c r="A17" s="39" t="inlineStr">
        <is>
          <t>偏移(字节)</t>
        </is>
      </c>
      <c r="B17" s="39" t="inlineStr">
        <is>
          <t>字段</t>
        </is>
      </c>
      <c r="C17" s="39" t="inlineStr">
        <is>
          <t>大小(字节)</t>
        </is>
      </c>
      <c r="D17" s="39" t="inlineStr">
        <is>
          <t>上限(字节)</t>
        </is>
      </c>
      <c r="E17" s="39" t="inlineStr">
        <is>
          <t>取值/枚举</t>
        </is>
      </c>
      <c r="F17" s="39" t="inlineStr">
        <is>
          <t>说明</t>
        </is>
      </c>
    </row>
    <row r="18" ht="54" customHeight="1" s="3">
      <c r="A18" s="40" t="inlineStr">
        <is>
          <t>0+</t>
        </is>
      </c>
      <c r="B18" s="40" t="inlineStr">
        <is>
          <t>Time + Title</t>
        </is>
      </c>
      <c r="C18" s="40" t="inlineStr">
        <is>
          <t>(1+T) + (1+N)</t>
        </is>
      </c>
      <c r="D18" s="40" t="inlineStr">
        <is>
          <t>Time 0/5；Title 1–40</t>
        </is>
      </c>
      <c r="E18" s="40" t="inlineStr">
        <is>
          <t>长度前缀 UTF-8 字符串</t>
        </is>
      </c>
      <c r="F18" s="40" t="inlineStr">
        <is>
          <t>Time 为空表示全天事件，否则必须为 HH:mm；Title 必须非空</t>
        </is>
      </c>
    </row>
    <row r="19" ht="54" customHeight="1" s="3">
      <c r="A19" s="41" t="inlineStr">
        <is>
          <t>变长</t>
        </is>
      </c>
      <c r="B19" s="41" t="inlineStr">
        <is>
          <t>Description + Category</t>
        </is>
      </c>
      <c r="C19" s="41" t="inlineStr">
        <is>
          <t>(1+D) + 1</t>
        </is>
      </c>
      <c r="D19" s="41" t="inlineStr">
        <is>
          <t>Description 1–120；Category 1</t>
        </is>
      </c>
      <c r="E19" s="41" t="inlineStr">
        <is>
          <t>Description 非空；Category=0x00–0x06</t>
        </is>
      </c>
      <c r="F19" s="41" t="inlineStr">
        <is>
          <t>描述必须能独立说明日程内容，禁止只发送标题</t>
        </is>
      </c>
    </row>
    <row r="20" ht="54" customHeight="1" s="3">
      <c r="A20" s="42" t="inlineStr">
        <is>
          <t>变长</t>
        </is>
      </c>
      <c r="B20" s="42" t="inlineStr">
        <is>
          <t>EndTime + SupportText</t>
        </is>
      </c>
      <c r="C20" s="40" t="inlineStr">
        <is>
          <t>(1+E) + (1+S)</t>
        </is>
      </c>
      <c r="D20" s="43" t="inlineStr">
        <is>
          <t>EndTime 0/5；SupportText 0–120</t>
        </is>
      </c>
      <c r="E20" s="43" t="inlineStr">
        <is>
          <t>长度前缀 UTF-8 字符串</t>
        </is>
      </c>
      <c r="F20" s="43" t="inlineStr">
        <is>
          <t>定时事件 EndTime 必须晚于 Time；全天事件两者均空；SupportText 可空</t>
        </is>
      </c>
    </row>
    <row r="21" ht="42" customHeight="1" s="3">
      <c r="A21" s="81" t="inlineStr">
        <is>
          <t>Event 总长（字节）</t>
        </is>
      </c>
      <c r="B21" s="150" t="n"/>
      <c r="C21" s="82" t="inlineStr">
        <is>
          <t>变长</t>
        </is>
      </c>
      <c r="D21" s="82" t="inlineStr">
        <is>
          <t>每条 = 6 + T + N + D + E + S；Schedule Payload = 5 + Σ(每条 Event)</t>
        </is>
      </c>
      <c r="E21" s="151" t="n"/>
      <c r="F21" s="150" t="n"/>
    </row>
    <row r="22" ht="15" customHeight="1" s="3">
      <c r="A22" s="45" t="n"/>
      <c r="B22" s="45" t="n"/>
      <c r="C22" s="46" t="n"/>
      <c r="D22" s="46" t="n"/>
      <c r="E22" s="46" t="n"/>
      <c r="F22" s="46" t="n"/>
    </row>
    <row r="23" ht="24" customHeight="1" s="3">
      <c r="A23" s="85" t="inlineStr">
        <is>
          <t>§4.7  DayPack · Event 条目（0x10）（子结构）</t>
        </is>
      </c>
      <c r="B23" s="61" t="n"/>
      <c r="C23" s="61" t="n"/>
      <c r="D23" s="61" t="n"/>
      <c r="E23" s="61" t="n"/>
      <c r="F23" s="143" t="n"/>
    </row>
    <row r="24" ht="21" customHeight="1" s="3">
      <c r="A24" s="76" t="inlineStr">
        <is>
          <t>DayPack(0x10) 内部结构：每条事件条目（6 字段，EventCount 之后顺序编码）</t>
        </is>
      </c>
      <c r="B24" s="61" t="n"/>
      <c r="C24" s="61" t="n"/>
      <c r="D24" s="61" t="n"/>
      <c r="E24" s="61" t="n"/>
      <c r="F24" s="143" t="n"/>
    </row>
    <row r="25" ht="21.95" customHeight="1" s="3">
      <c r="A25" s="39" t="inlineStr">
        <is>
          <t>偏移(字节)</t>
        </is>
      </c>
      <c r="B25" s="39" t="inlineStr">
        <is>
          <t>字段</t>
        </is>
      </c>
      <c r="C25" s="39" t="inlineStr">
        <is>
          <t>大小(字节)</t>
        </is>
      </c>
      <c r="D25" s="39" t="inlineStr">
        <is>
          <t>上限(字节)</t>
        </is>
      </c>
      <c r="E25" s="39" t="inlineStr">
        <is>
          <t>取值/枚举</t>
        </is>
      </c>
      <c r="F25" s="39" t="inlineStr">
        <is>
          <t>说明</t>
        </is>
      </c>
    </row>
    <row r="26" ht="29.1" customHeight="1" s="3">
      <c r="A26" s="47" t="n">
        <v>0</v>
      </c>
      <c r="B26" s="47" t="inlineStr">
        <is>
          <t>Time</t>
        </is>
      </c>
      <c r="C26" s="47" t="inlineStr">
        <is>
          <t>1+N</t>
        </is>
      </c>
      <c r="D26" s="47" t="n">
        <v>8</v>
      </c>
      <c r="E26" s="47" t="inlineStr">
        <is>
          <t>长度前缀字符串</t>
        </is>
      </c>
      <c r="F26" s="47" t="inlineStr">
        <is>
          <t>起始时间 "HH:mm"；全天事件为空串（1 字节 0x00）</t>
        </is>
      </c>
    </row>
    <row r="27" ht="29.1" customHeight="1" s="3">
      <c r="A27" s="48" t="inlineStr">
        <is>
          <t>...</t>
        </is>
      </c>
      <c r="B27" s="48" t="inlineStr">
        <is>
          <t>Title</t>
        </is>
      </c>
      <c r="C27" s="48" t="inlineStr">
        <is>
          <t>1+N</t>
        </is>
      </c>
      <c r="D27" s="48" t="n">
        <v>40</v>
      </c>
      <c r="E27" s="48" t="inlineStr">
        <is>
          <t>长度前缀字符串</t>
        </is>
      </c>
      <c r="F27" s="48" t="inlineStr">
        <is>
          <t>事件标题</t>
        </is>
      </c>
    </row>
    <row r="28" ht="29.1" customHeight="1" s="3">
      <c r="A28" s="47" t="inlineStr">
        <is>
          <t>...</t>
        </is>
      </c>
      <c r="B28" s="47" t="inlineStr">
        <is>
          <t>Description</t>
        </is>
      </c>
      <c r="C28" s="47" t="inlineStr">
        <is>
          <t>1+N</t>
        </is>
      </c>
      <c r="D28" s="47" t="n">
        <v>120</v>
      </c>
      <c r="E28" s="47" t="inlineStr">
        <is>
          <t>长度前缀字符串</t>
        </is>
      </c>
      <c r="F28" s="47" t="inlineStr">
        <is>
          <t>事件描述（设计稿事件卡正文）</t>
        </is>
      </c>
    </row>
    <row r="29" ht="29.1" customHeight="1" s="3">
      <c r="A29" s="48" t="inlineStr">
        <is>
          <t>...</t>
        </is>
      </c>
      <c r="B29" s="48" t="inlineStr">
        <is>
          <t>Category</t>
        </is>
      </c>
      <c r="C29" s="48" t="n">
        <v>1</v>
      </c>
      <c r="D29" s="48" t="inlineStr">
        <is>
          <t>-</t>
        </is>
      </c>
      <c r="E29" s="48" t="inlineStr">
        <is>
          <t>0x00–0x06</t>
        </is>
      </c>
      <c r="F29" s="48" t="inlineStr">
        <is>
          <t>事件类别（v2.5.27，AI 打标）；0x00=未分类不画图标，详见枚举页</t>
        </is>
      </c>
    </row>
    <row r="30" ht="29.1" customHeight="1" s="3">
      <c r="A30" s="47" t="inlineStr">
        <is>
          <t>...</t>
        </is>
      </c>
      <c r="B30" s="47" t="inlineStr">
        <is>
          <t>EndTime</t>
        </is>
      </c>
      <c r="C30" s="47" t="inlineStr">
        <is>
          <t>1+N</t>
        </is>
      </c>
      <c r="D30" s="47" t="n">
        <v>8</v>
      </c>
      <c r="E30" s="47" t="inlineStr">
        <is>
          <t>长度前缀字符串</t>
        </is>
      </c>
      <c r="F30" s="47" t="inlineStr">
        <is>
          <t>结束时间 "HH:mm"（v2.6.0）；全天事件空串，跨午夜按 "23:59" 封顶</t>
        </is>
      </c>
    </row>
    <row r="31" ht="29.1" customHeight="1" s="3">
      <c r="A31" s="48" t="inlineStr">
        <is>
          <t>...</t>
        </is>
      </c>
      <c r="B31" s="48" t="inlineStr">
        <is>
          <t>SupportText</t>
        </is>
      </c>
      <c r="C31" s="48" t="inlineStr">
        <is>
          <t>1+N</t>
        </is>
      </c>
      <c r="D31" s="48" t="n">
        <v>120</v>
      </c>
      <c r="E31" s="48" t="inlineStr">
        <is>
          <t>长度前缀字符串</t>
        </is>
      </c>
      <c r="F31" s="48" t="inlineStr">
        <is>
          <t>支持性文字（v2.10.0，按 Category 规则生成）；空串=未生成</t>
        </is>
      </c>
    </row>
    <row r="32" ht="29.1" customHeight="1" s="3">
      <c r="A32" s="77" t="inlineStr">
        <is>
          <t>Payload 总长（字节）</t>
        </is>
      </c>
      <c r="B32" s="143" t="n"/>
      <c r="C32" s="49" t="inlineStr">
        <is>
          <t>变长</t>
        </is>
      </c>
      <c r="D32" s="78" t="inlineStr">
        <is>
          <t>每条可变：Time + Title + Description + Category(1) + EndTime + SupportText</t>
        </is>
      </c>
      <c r="E32" s="61" t="n"/>
      <c r="F32" s="143" t="n"/>
    </row>
    <row r="33"/>
    <row r="34" ht="24" customHeight="1" s="3">
      <c r="A34" s="85" t="inlineStr">
        <is>
          <t>§4.7  DayPack · TopTask 条目（0x10）（子结构）</t>
        </is>
      </c>
      <c r="B34" s="61" t="n"/>
      <c r="C34" s="61" t="n"/>
      <c r="D34" s="61" t="n"/>
      <c r="E34" s="61" t="n"/>
      <c r="F34" s="143" t="n"/>
    </row>
    <row r="35" ht="21" customHeight="1" s="3">
      <c r="A35" s="76" t="inlineStr">
        <is>
          <t>DayPack(0x10) 内部结构：每条置顶任务条目（4 字段，TaskCount 之后顺序编码）</t>
        </is>
      </c>
      <c r="B35" s="61" t="n"/>
      <c r="C35" s="61" t="n"/>
      <c r="D35" s="61" t="n"/>
      <c r="E35" s="61" t="n"/>
      <c r="F35" s="143" t="n"/>
    </row>
    <row r="36" ht="21.95" customHeight="1" s="3">
      <c r="A36" s="39" t="inlineStr">
        <is>
          <t>偏移(字节)</t>
        </is>
      </c>
      <c r="B36" s="39" t="inlineStr">
        <is>
          <t>字段</t>
        </is>
      </c>
      <c r="C36" s="39" t="inlineStr">
        <is>
          <t>大小(字节)</t>
        </is>
      </c>
      <c r="D36" s="39" t="inlineStr">
        <is>
          <t>上限(字节)</t>
        </is>
      </c>
      <c r="E36" s="39" t="inlineStr">
        <is>
          <t>取值/枚举</t>
        </is>
      </c>
      <c r="F36" s="39" t="inlineStr">
        <is>
          <t>说明</t>
        </is>
      </c>
    </row>
    <row r="37" ht="29.1" customHeight="1" s="3">
      <c r="A37" s="35" t="n">
        <v>0</v>
      </c>
      <c r="B37" s="35" t="inlineStr">
        <is>
          <t>TaskIdLength</t>
        </is>
      </c>
      <c r="C37" s="35" t="n">
        <v>1</v>
      </c>
      <c r="D37" s="35" t="inlineStr">
        <is>
          <t>-</t>
        </is>
      </c>
      <c r="E37" s="35" t="inlineStr">
        <is>
          <t>0–36</t>
        </is>
      </c>
      <c r="F37" s="35" t="inlineStr">
        <is>
          <t>TaskId 的 UTF-8 字节数</t>
        </is>
      </c>
    </row>
    <row r="38" ht="29.1" customHeight="1" s="3">
      <c r="A38" s="36" t="n">
        <v>1</v>
      </c>
      <c r="B38" s="36" t="inlineStr">
        <is>
          <t>TaskId</t>
        </is>
      </c>
      <c r="C38" s="36" t="inlineStr">
        <is>
          <t>N1</t>
        </is>
      </c>
      <c r="D38" s="36" t="n">
        <v>36</v>
      </c>
      <c r="E38" s="36" t="inlineStr">
        <is>
          <t>UTF-8</t>
        </is>
      </c>
      <c r="F38" s="36" t="inlineStr">
        <is>
          <t>硬件任务 ID；App 对超长外部 ID 生成 h- + 32 位十六进制摘要</t>
        </is>
      </c>
    </row>
    <row r="39" ht="29.1" customHeight="1" s="3">
      <c r="A39" s="35" t="inlineStr">
        <is>
          <t>1+N1</t>
        </is>
      </c>
      <c r="B39" s="35" t="inlineStr">
        <is>
          <t>TitleLength</t>
        </is>
      </c>
      <c r="C39" s="35" t="n">
        <v>1</v>
      </c>
      <c r="D39" s="35" t="inlineStr">
        <is>
          <t>-</t>
        </is>
      </c>
      <c r="E39" s="35" t="inlineStr">
        <is>
          <t>0–30</t>
        </is>
      </c>
      <c r="F39" s="35" t="inlineStr">
        <is>
          <t>Title 的 UTF-8 字节数</t>
        </is>
      </c>
    </row>
    <row r="40" ht="29.1" customHeight="1" s="3">
      <c r="A40" s="36" t="inlineStr">
        <is>
          <t>...</t>
        </is>
      </c>
      <c r="B40" s="36" t="inlineStr">
        <is>
          <t>Title</t>
        </is>
      </c>
      <c r="C40" s="36" t="inlineStr">
        <is>
          <t>N2</t>
        </is>
      </c>
      <c r="D40" s="36" t="n">
        <v>30</v>
      </c>
      <c r="E40" s="36" t="inlineStr">
        <is>
          <t>UTF-8</t>
        </is>
      </c>
      <c r="F40" s="36" t="inlineStr">
        <is>
          <t>任务标题</t>
        </is>
      </c>
    </row>
    <row r="41" ht="29.1" customHeight="1" s="3">
      <c r="A41" s="35" t="inlineStr">
        <is>
          <t>...</t>
        </is>
      </c>
      <c r="B41" s="35" t="inlineStr">
        <is>
          <t>IsCompleted</t>
        </is>
      </c>
      <c r="C41" s="35" t="n">
        <v>1</v>
      </c>
      <c r="D41" s="35" t="inlineStr">
        <is>
          <t>-</t>
        </is>
      </c>
      <c r="E41" s="35" t="inlineStr">
        <is>
          <t>0x00 / 0x01</t>
        </is>
      </c>
      <c r="F41" s="37" t="inlineStr">
        <is>
          <t>0x00=未完成，0x01=已完成</t>
        </is>
      </c>
    </row>
    <row r="42" ht="29.1" customHeight="1" s="3">
      <c r="A42" s="36" t="inlineStr">
        <is>
          <t>...</t>
        </is>
      </c>
      <c r="B42" s="36" t="inlineStr">
        <is>
          <t>Priority</t>
        </is>
      </c>
      <c r="C42" s="36" t="n">
        <v>1</v>
      </c>
      <c r="D42" s="36" t="inlineStr">
        <is>
          <t>-</t>
        </is>
      </c>
      <c r="E42" s="36" t="inlineStr">
        <is>
          <t>1–3</t>
        </is>
      </c>
      <c r="F42" s="36" t="inlineStr">
        <is>
          <t>优先级</t>
        </is>
      </c>
    </row>
    <row r="43" ht="29.1" customHeight="1" s="3">
      <c r="A43" s="88" t="inlineStr">
        <is>
          <t>Payload 总长（字节）</t>
        </is>
      </c>
      <c r="B43" s="143" t="n"/>
      <c r="C43" s="49" t="inlineStr">
        <is>
          <t>变长</t>
        </is>
      </c>
      <c r="D43" s="86" t="inlineStr">
        <is>
          <t>每条可变：1 + N1 + 1 + N2 + 2（N1≤36，N2≤30）</t>
        </is>
      </c>
      <c r="E43" s="61" t="n"/>
      <c r="F43" s="143" t="n"/>
    </row>
    <row r="44"/>
    <row r="45" ht="24" customHeight="1" s="3">
      <c r="A45" s="85" t="inlineStr">
        <is>
          <t>§4.7  DayPack · SettlementData（定长 10B）</t>
        </is>
      </c>
      <c r="B45" s="61" t="n"/>
      <c r="C45" s="61" t="n"/>
      <c r="D45" s="61" t="n"/>
      <c r="E45" s="61" t="n"/>
      <c r="F45" s="143" t="n"/>
    </row>
    <row r="46" ht="21" customHeight="1" s="3">
      <c r="A46" s="76" t="inlineStr">
        <is>
          <t>DayPack(0x10) 内部结构：定长 10 字节数值块</t>
        </is>
      </c>
      <c r="B46" s="61" t="n"/>
      <c r="C46" s="61" t="n"/>
      <c r="D46" s="61" t="n"/>
      <c r="E46" s="61" t="n"/>
      <c r="F46" s="143" t="n"/>
    </row>
    <row r="47" ht="21.95" customHeight="1" s="3">
      <c r="A47" s="39" t="inlineStr">
        <is>
          <t>偏移(字节)</t>
        </is>
      </c>
      <c r="B47" s="39" t="inlineStr">
        <is>
          <t>字段</t>
        </is>
      </c>
      <c r="C47" s="39" t="inlineStr">
        <is>
          <t>大小(字节)</t>
        </is>
      </c>
      <c r="D47" s="39" t="inlineStr">
        <is>
          <t>上限(字节)</t>
        </is>
      </c>
      <c r="E47" s="39" t="inlineStr">
        <is>
          <t>取值/枚举</t>
        </is>
      </c>
      <c r="F47" s="39" t="inlineStr">
        <is>
          <t>说明</t>
        </is>
      </c>
    </row>
    <row r="48" ht="29.1" customHeight="1" s="3">
      <c r="A48" s="47" t="n">
        <v>0</v>
      </c>
      <c r="B48" s="47" t="inlineStr">
        <is>
          <t>TasksCompleted</t>
        </is>
      </c>
      <c r="C48" s="47" t="n">
        <v>1</v>
      </c>
      <c r="D48" s="47" t="inlineStr">
        <is>
          <t>-</t>
        </is>
      </c>
      <c r="E48" s="47" t="inlineStr">
        <is>
          <t>clamp 0–255</t>
        </is>
      </c>
      <c r="F48" s="47" t="inlineStr">
        <is>
          <t>已完成项数 = 已完成任务 + 已结束日程</t>
        </is>
      </c>
    </row>
    <row r="49" ht="29.1" customHeight="1" s="3">
      <c r="A49" s="48" t="n">
        <v>1</v>
      </c>
      <c r="B49" s="48" t="inlineStr">
        <is>
          <t>TasksTotal</t>
        </is>
      </c>
      <c r="C49" s="48" t="n">
        <v>1</v>
      </c>
      <c r="D49" s="48" t="inlineStr">
        <is>
          <t>-</t>
        </is>
      </c>
      <c r="E49" s="48" t="inlineStr">
        <is>
          <t>clamp 0–255</t>
        </is>
      </c>
      <c r="F49" s="48" t="inlineStr">
        <is>
          <t>总项数 = 当日全部任务 + 全部今日日程</t>
        </is>
      </c>
    </row>
    <row r="50" ht="29.1" customHeight="1" s="3">
      <c r="A50" s="47" t="n">
        <v>2</v>
      </c>
      <c r="B50" s="47" t="inlineStr">
        <is>
          <t>PointsEarned</t>
        </is>
      </c>
      <c r="C50" s="47" t="n">
        <v>2</v>
      </c>
      <c r="D50" s="47" t="inlineStr">
        <is>
          <t>-</t>
        </is>
      </c>
      <c r="E50" s="47" t="inlineStr">
        <is>
          <t>UInt16 BE</t>
        </is>
      </c>
      <c r="F50" s="47" t="inlineStr">
        <is>
          <t>积分</t>
        </is>
      </c>
    </row>
    <row r="51" ht="29.1" customHeight="1" s="3">
      <c r="A51" s="48" t="n">
        <v>4</v>
      </c>
      <c r="B51" s="48" t="inlineStr">
        <is>
          <t>TotalFocusMinutes</t>
        </is>
      </c>
      <c r="C51" s="48" t="n">
        <v>2</v>
      </c>
      <c r="D51" s="48" t="inlineStr">
        <is>
          <t>-</t>
        </is>
      </c>
      <c r="E51" s="48" t="inlineStr">
        <is>
          <t>UInt16 BE</t>
        </is>
      </c>
      <c r="F51" s="48" t="inlineStr">
        <is>
          <t>总专注时间（分钟）</t>
        </is>
      </c>
    </row>
    <row r="52" ht="29.1" customHeight="1" s="3">
      <c r="A52" s="47" t="n">
        <v>6</v>
      </c>
      <c r="B52" s="47" t="inlineStr">
        <is>
          <t>FocusSessionCount</t>
        </is>
      </c>
      <c r="C52" s="47" t="n">
        <v>1</v>
      </c>
      <c r="D52" s="47" t="inlineStr">
        <is>
          <t>-</t>
        </is>
      </c>
      <c r="E52" s="47" t="inlineStr">
        <is>
          <t>clamp 0–255</t>
        </is>
      </c>
      <c r="F52" s="47" t="inlineStr">
        <is>
          <t>专注会话次数</t>
        </is>
      </c>
    </row>
    <row r="53" ht="29.1" customHeight="1" s="3">
      <c r="A53" s="48" t="n">
        <v>7</v>
      </c>
      <c r="B53" s="48" t="inlineStr">
        <is>
          <t>LongestFocusMinutes</t>
        </is>
      </c>
      <c r="C53" s="48" t="n">
        <v>2</v>
      </c>
      <c r="D53" s="48" t="inlineStr">
        <is>
          <t>-</t>
        </is>
      </c>
      <c r="E53" s="48" t="inlineStr">
        <is>
          <t>UInt16 BE</t>
        </is>
      </c>
      <c r="F53" s="48" t="inlineStr">
        <is>
          <t>最长单次专注时间（分钟）</t>
        </is>
      </c>
    </row>
    <row r="54" ht="29.1" customHeight="1" s="3">
      <c r="A54" s="47" t="n">
        <v>9</v>
      </c>
      <c r="B54" s="47" t="inlineStr">
        <is>
          <t>InterruptionCount</t>
        </is>
      </c>
      <c r="C54" s="47" t="n">
        <v>1</v>
      </c>
      <c r="D54" s="47" t="inlineStr">
        <is>
          <t>-</t>
        </is>
      </c>
      <c r="E54" s="47" t="inlineStr">
        <is>
          <t>clamp 0–255</t>
        </is>
      </c>
      <c r="F54" s="47" t="inlineStr">
        <is>
          <t>专注期间手机解锁次数</t>
        </is>
      </c>
    </row>
    <row r="55" ht="29.1" customHeight="1" s="3">
      <c r="A55" s="77" t="inlineStr">
        <is>
          <t>总长（字节）</t>
        </is>
      </c>
      <c r="B55" s="143" t="n"/>
      <c r="C55" s="49">
        <f>SUM(C48:C54)</f>
        <v/>
      </c>
      <c r="D55" s="78" t="inlineStr">
        <is>
          <t>固定长度（字段均为定长字节）</t>
        </is>
      </c>
      <c r="E55" s="61" t="n"/>
      <c r="F55" s="143" t="n"/>
    </row>
    <row r="56"/>
    <row r="57" ht="24" customHeight="1" s="3">
      <c r="A57" s="85" t="inlineStr">
        <is>
          <t>§4.21  TaskListSnapshotAck · Task 条目（0x1B）（子结构）</t>
        </is>
      </c>
      <c r="B57" s="61" t="n"/>
      <c r="C57" s="61" t="n"/>
      <c r="D57" s="61" t="n"/>
      <c r="E57" s="61" t="n"/>
      <c r="F57" s="143" t="n"/>
    </row>
    <row r="58" ht="36" customHeight="1" s="3">
      <c r="A58" s="76" t="inlineStr">
        <is>
          <t>TaskListSnapshotAck(0x1B) 内部结构：每条任务条目（由 TaskCount 指定条数，随后顺序编码）</t>
        </is>
      </c>
      <c r="B58" s="61" t="n"/>
      <c r="C58" s="61" t="n"/>
      <c r="D58" s="61" t="n"/>
      <c r="E58" s="61" t="n"/>
      <c r="F58" s="143" t="n"/>
    </row>
    <row r="59" ht="21.95" customHeight="1" s="3">
      <c r="A59" s="39" t="inlineStr">
        <is>
          <t>偏移(字节)</t>
        </is>
      </c>
      <c r="B59" s="39" t="inlineStr">
        <is>
          <t>字段</t>
        </is>
      </c>
      <c r="C59" s="39" t="inlineStr">
        <is>
          <t>大小(字节)</t>
        </is>
      </c>
      <c r="D59" s="39" t="inlineStr">
        <is>
          <t>上限(字节)</t>
        </is>
      </c>
      <c r="E59" s="39" t="inlineStr">
        <is>
          <t>取值/枚举</t>
        </is>
      </c>
      <c r="F59" s="39" t="inlineStr">
        <is>
          <t>说明</t>
        </is>
      </c>
    </row>
    <row r="60" ht="29.1" customHeight="1" s="3">
      <c r="A60" s="47" t="n">
        <v>0</v>
      </c>
      <c r="B60" s="47" t="inlineStr">
        <is>
          <t>TaskIdLength</t>
        </is>
      </c>
      <c r="C60" s="47" t="n">
        <v>1</v>
      </c>
      <c r="D60" s="47" t="inlineStr">
        <is>
          <t>-</t>
        </is>
      </c>
      <c r="E60" s="47" t="inlineStr">
        <is>
          <t>0–36</t>
        </is>
      </c>
      <c r="F60" s="47" t="inlineStr">
        <is>
          <t>TaskId 的 UTF-8 字节数</t>
        </is>
      </c>
    </row>
    <row r="61" ht="29.1" customHeight="1" s="3">
      <c r="A61" s="48" t="n">
        <v>1</v>
      </c>
      <c r="B61" s="48" t="inlineStr">
        <is>
          <t>TaskId</t>
        </is>
      </c>
      <c r="C61" s="48" t="inlineStr">
        <is>
          <t>N1</t>
        </is>
      </c>
      <c r="D61" s="48" t="n">
        <v>36</v>
      </c>
      <c r="E61" s="48" t="inlineStr">
        <is>
          <t>UTF-8</t>
        </is>
      </c>
      <c r="F61" s="48" t="inlineStr">
        <is>
          <t>硬件任务 ID；App 对超长外部 ID 生成 h- + 32 位十六进制摘要</t>
        </is>
      </c>
    </row>
    <row r="62" ht="29.1" customHeight="1" s="3">
      <c r="A62" s="47" t="inlineStr">
        <is>
          <t>1+N1</t>
        </is>
      </c>
      <c r="B62" s="47" t="inlineStr">
        <is>
          <t>TitleLength</t>
        </is>
      </c>
      <c r="C62" s="47" t="n">
        <v>1</v>
      </c>
      <c r="D62" s="47" t="inlineStr">
        <is>
          <t>-</t>
        </is>
      </c>
      <c r="E62" s="47" t="inlineStr">
        <is>
          <t>0–30</t>
        </is>
      </c>
      <c r="F62" s="47" t="inlineStr">
        <is>
          <t>Title 的 UTF-8 字节数</t>
        </is>
      </c>
    </row>
    <row r="63" ht="29.1" customHeight="1" s="3">
      <c r="A63" s="48" t="inlineStr">
        <is>
          <t>...</t>
        </is>
      </c>
      <c r="B63" s="48" t="inlineStr">
        <is>
          <t>Title</t>
        </is>
      </c>
      <c r="C63" s="48" t="inlineStr">
        <is>
          <t>N2</t>
        </is>
      </c>
      <c r="D63" s="48" t="n">
        <v>30</v>
      </c>
      <c r="E63" s="48" t="inlineStr">
        <is>
          <t>UTF-8</t>
        </is>
      </c>
      <c r="F63" s="48" t="inlineStr">
        <is>
          <t>任务标题</t>
        </is>
      </c>
    </row>
    <row r="64" ht="29.1" customHeight="1" s="3">
      <c r="A64" s="47" t="inlineStr">
        <is>
          <t>...</t>
        </is>
      </c>
      <c r="B64" s="47" t="inlineStr">
        <is>
          <t>IsCompleted</t>
        </is>
      </c>
      <c r="C64" s="47" t="n">
        <v>1</v>
      </c>
      <c r="D64" s="47" t="inlineStr">
        <is>
          <t>-</t>
        </is>
      </c>
      <c r="E64" s="47" t="inlineStr">
        <is>
          <t>0x00 / 0x01</t>
        </is>
      </c>
      <c r="F64" s="47" t="inlineStr">
        <is>
          <t>当前正常发送恒为 0x00（快照只含未完成任务）；字节保留为结构与 TopTask 一致</t>
        </is>
      </c>
    </row>
    <row r="65" ht="29.1" customHeight="1" s="3">
      <c r="A65" s="48" t="inlineStr">
        <is>
          <t>...</t>
        </is>
      </c>
      <c r="B65" s="48" t="inlineStr">
        <is>
          <t>Priority</t>
        </is>
      </c>
      <c r="C65" s="48" t="n">
        <v>1</v>
      </c>
      <c r="D65" s="48" t="inlineStr">
        <is>
          <t>-</t>
        </is>
      </c>
      <c r="E65" s="48" t="inlineStr">
        <is>
          <t>1–3</t>
        </is>
      </c>
      <c r="F65" s="48" t="inlineStr">
        <is>
          <t>优先级</t>
        </is>
      </c>
    </row>
    <row r="66" ht="29.1" customHeight="1" s="3">
      <c r="A66" s="77" t="inlineStr">
        <is>
          <t>Payload 总长（字节）</t>
        </is>
      </c>
      <c r="B66" s="143" t="n"/>
      <c r="C66" s="49" t="inlineStr">
        <is>
          <t>变长</t>
        </is>
      </c>
      <c r="D66" s="78" t="inlineStr">
        <is>
          <t>每条可变：1 + N1 + 1 + N2 + 2（N1≤36，N2≤30）</t>
        </is>
      </c>
      <c r="E66" s="61" t="n"/>
      <c r="F66" s="143" t="n"/>
    </row>
    <row r="67"/>
    <row r="68" ht="24" customHeight="1" s="3">
      <c r="A68" s="85" t="inlineStr">
        <is>
          <t>§5.15  EventLogBatch（0x21）· Record 记录格式（子结构）</t>
        </is>
      </c>
      <c r="B68" s="61" t="n"/>
      <c r="C68" s="61" t="n"/>
      <c r="D68" s="61" t="n"/>
      <c r="E68" s="61" t="n"/>
      <c r="F68" s="143" t="n"/>
    </row>
    <row r="69" ht="21" customHeight="1" s="3">
      <c r="A69" s="76" t="inlineStr">
        <is>
          <t>EventLogBatch(0x21) 内部结构：Count(1B) + Records[] 记录流</t>
        </is>
      </c>
      <c r="B69" s="61" t="n"/>
      <c r="C69" s="61" t="n"/>
      <c r="D69" s="61" t="n"/>
      <c r="E69" s="61" t="n"/>
      <c r="F69" s="143" t="n"/>
    </row>
    <row r="70" ht="21.95" customHeight="1" s="3">
      <c r="A70" s="39" t="inlineStr">
        <is>
          <t>偏移(字节)</t>
        </is>
      </c>
      <c r="B70" s="39" t="inlineStr">
        <is>
          <t>字段</t>
        </is>
      </c>
      <c r="C70" s="39" t="inlineStr">
        <is>
          <t>大小(字节)</t>
        </is>
      </c>
      <c r="D70" s="39" t="inlineStr">
        <is>
          <t>上限(字节)</t>
        </is>
      </c>
      <c r="E70" s="39" t="inlineStr">
        <is>
          <t>取值/枚举</t>
        </is>
      </c>
      <c r="F70" s="39" t="inlineStr">
        <is>
          <t>说明</t>
        </is>
      </c>
    </row>
    <row r="71" ht="29.1" customHeight="1" s="3">
      <c r="A71" s="47" t="n">
        <v>0</v>
      </c>
      <c r="B71" s="47" t="inlineStr">
        <is>
          <t>Count</t>
        </is>
      </c>
      <c r="C71" s="47" t="n">
        <v>1</v>
      </c>
      <c r="D71" s="47" t="inlineStr">
        <is>
          <t>-</t>
        </is>
      </c>
      <c r="E71" s="47" t="inlineStr">
        <is>
          <t>0–255</t>
        </is>
      </c>
      <c r="F71" s="47" t="inlineStr">
        <is>
          <t>本批次记录条数；App 严格校验整批长度，必须恰好解析出 Count 条</t>
        </is>
      </c>
    </row>
    <row r="72" ht="29.1" customHeight="1" s="3">
      <c r="A72" s="48" t="inlineStr">
        <is>
          <t>1+</t>
        </is>
      </c>
      <c r="B72" s="48" t="inlineStr">
        <is>
          <t>Records[]</t>
        </is>
      </c>
      <c r="C72" s="48" t="inlineStr">
        <is>
          <t>变长</t>
        </is>
      </c>
      <c r="D72" s="48" t="inlineStr">
        <is>
          <t>-</t>
        </is>
      </c>
      <c r="E72" s="48" t="inlineStr">
        <is>
          <t>见下表</t>
        </is>
      </c>
      <c r="F72" s="48" t="inlineStr">
        <is>
          <t>顺序拼接的记录流；记录类型 1B + payload N B</t>
        </is>
      </c>
    </row>
    <row r="73" ht="29.1" customHeight="1" s="3">
      <c r="A73" s="77" t="inlineStr">
        <is>
          <t>Payload 总长（字节）</t>
        </is>
      </c>
      <c r="B73" s="143" t="n"/>
      <c r="C73" s="49" t="inlineStr">
        <is>
          <t>变长</t>
        </is>
      </c>
      <c r="D73" s="78" t="inlineStr">
        <is>
          <t>可变：1 + Σ(1 + 各记录 payload)</t>
        </is>
      </c>
      <c r="E73" s="61" t="n"/>
      <c r="F73" s="143" t="n"/>
    </row>
    <row r="74"/>
    <row r="75" ht="24" customHeight="1" s="3">
      <c r="A75" s="69" t="inlineStr">
        <is>
          <t>EventLogBatch · 各类事件记录字节长度（按事件类型）</t>
        </is>
      </c>
      <c r="B75" s="61" t="n"/>
      <c r="C75" s="61" t="n"/>
      <c r="D75" s="61" t="n"/>
      <c r="E75" s="61" t="n"/>
      <c r="F75" s="143" t="n"/>
    </row>
    <row r="76" ht="21.95" customHeight="1" s="3">
      <c r="A76" s="39" t="inlineStr">
        <is>
          <t>事件类型</t>
        </is>
      </c>
      <c r="B76" s="39" t="inlineStr">
        <is>
          <t>Payload 组成</t>
        </is>
      </c>
      <c r="C76" s="39" t="inlineStr">
        <is>
          <t>记录总长</t>
        </is>
      </c>
      <c r="D76" s="39" t="n"/>
      <c r="E76" s="39" t="n"/>
      <c r="F76" s="39" t="n"/>
    </row>
    <row r="77" ht="29.1" customHeight="1" s="3">
      <c r="A77" s="47" t="inlineStr">
        <is>
          <t>0x01–0x06、0x31</t>
        </is>
      </c>
      <c r="B77" s="47" t="inlineStr">
        <is>
          <t>无 payload</t>
        </is>
      </c>
      <c r="C77" s="47" t="inlineStr">
        <is>
          <t>1 字节</t>
        </is>
      </c>
      <c r="D77" s="47" t="n"/>
      <c r="E77" s="47" t="n"/>
      <c r="F77" s="47" t="n"/>
    </row>
    <row r="78" ht="29.1" customHeight="1" s="3">
      <c r="A78" s="48" t="inlineStr">
        <is>
          <t>0x30（批量内）</t>
        </is>
      </c>
      <c r="B78" s="48" t="inlineStr">
        <is>
          <t>BatteryLevel(1B)</t>
        </is>
      </c>
      <c r="C78" s="48" t="inlineStr">
        <is>
          <t>2 字节</t>
        </is>
      </c>
      <c r="D78" s="48" t="n"/>
      <c r="E78" s="48" t="n"/>
      <c r="F78" s="48" t="n"/>
    </row>
    <row r="79" ht="29.1" customHeight="1" s="3">
      <c r="A79" s="47" t="inlineStr">
        <is>
          <t>0x18</t>
        </is>
      </c>
      <c r="B79" s="47" t="inlineStr">
        <is>
          <t>StatusCode(1B)</t>
        </is>
      </c>
      <c r="C79" s="47" t="inlineStr">
        <is>
          <t>2 字节</t>
        </is>
      </c>
      <c r="D79" s="47" t="n"/>
      <c r="E79" s="47" t="n"/>
      <c r="F79" s="47" t="n"/>
    </row>
    <row r="80" ht="29.1" customHeight="1" s="3">
      <c r="A80" s="48" t="inlineStr">
        <is>
          <t>0x40</t>
        </is>
      </c>
      <c r="B80" s="48" t="inlineStr">
        <is>
          <t>BatteryLevel(1B)</t>
        </is>
      </c>
      <c r="C80" s="48" t="inlineStr">
        <is>
          <t>2 字节</t>
        </is>
      </c>
      <c r="D80" s="48" t="n"/>
      <c r="E80" s="48" t="n"/>
      <c r="F80" s="48" t="n"/>
    </row>
    <row r="81" ht="29.1" customHeight="1" s="3">
      <c r="A81" s="47" t="inlineStr">
        <is>
          <t>0x16、0x17</t>
        </is>
      </c>
      <c r="B81" s="47" t="inlineStr">
        <is>
          <t>Timestamp(4B)</t>
        </is>
      </c>
      <c r="C81" s="47" t="inlineStr">
        <is>
          <t>5 字节</t>
        </is>
      </c>
      <c r="D81" s="47" t="n"/>
      <c r="E81" s="47" t="n"/>
      <c r="F81" s="47" t="n"/>
    </row>
    <row r="82" ht="29.1" customHeight="1" s="3">
      <c r="A82" s="48" t="inlineStr">
        <is>
          <t>0x10</t>
        </is>
      </c>
      <c r="B82" s="48" t="inlineStr">
        <is>
          <t>Length(1B) + TaskId(NB) + Timestamp(4B)</t>
        </is>
      </c>
      <c r="C82" s="48" t="inlineStr">
        <is>
          <t>6+N 字节</t>
        </is>
      </c>
      <c r="D82" s="48" t="n"/>
      <c r="E82" s="48" t="n"/>
      <c r="F82" s="48" t="n"/>
    </row>
    <row r="83" ht="29.1" customHeight="1" s="3">
      <c r="A83" s="47" t="inlineStr">
        <is>
          <t>0x11、0x12（v2.9）</t>
        </is>
      </c>
      <c r="B83" s="47" t="inlineStr">
        <is>
          <t>SubVersion(1B) + OperationID(4B) + TaskIdLength(1B) + TaskId(NB) + Timestamp(4B)</t>
        </is>
      </c>
      <c r="C83" s="47" t="inlineStr">
        <is>
          <t>11+N 字节</t>
        </is>
      </c>
      <c r="D83" s="47" t="n"/>
      <c r="E83" s="47" t="n"/>
      <c r="F83" s="47" t="n"/>
    </row>
    <row r="84" ht="29.1" customHeight="1" s="3">
      <c r="A84" s="48" t="inlineStr">
        <is>
          <t>0x13–0x15</t>
        </is>
      </c>
      <c r="B84" s="48" t="inlineStr">
        <is>
          <t>Length(1B) + Id(NB)</t>
        </is>
      </c>
      <c r="C84" s="48" t="inlineStr">
        <is>
          <t>2+N 字节</t>
        </is>
      </c>
      <c r="D84" s="48" t="n"/>
      <c r="E84" s="48" t="n"/>
      <c r="F84" s="48" t="n"/>
    </row>
    <row r="85" ht="29.1" customHeight="1" s="3">
      <c r="A85" s="47" t="inlineStr">
        <is>
          <t>0x19、0x1A、0x20、0x22</t>
        </is>
      </c>
      <c r="B85" s="47" t="inlineStr">
        <is>
          <t>禁止入批（实时应答/控制请求）</t>
        </is>
      </c>
      <c r="C85" s="47" t="inlineStr">
        <is>
          <t>—</t>
        </is>
      </c>
      <c r="D85" s="47" t="n"/>
      <c r="E85" s="47" t="n"/>
      <c r="F85" s="47" t="n"/>
    </row>
    <row r="86"/>
    <row r="87" ht="51" customHeight="1" s="3">
      <c r="A87" s="145" t="inlineStr">
        <is>
          <t>约定：大小以字节（Byte）为单位；「1+N」= 1 字节长度前缀 + N 字节内容；「…」表示偏移随前面的变长字段累积；多字节整数一律 Big Endian。来源：Kirole BLE 通信协议规格文档 2.10.1。</t>
        </is>
      </c>
    </row>
  </sheetData>
  <mergeCells count="32">
    <mergeCell ref="A16:F16"/>
    <mergeCell ref="D13:F13"/>
    <mergeCell ref="A46:F46"/>
    <mergeCell ref="A73:B73"/>
    <mergeCell ref="D32:F32"/>
    <mergeCell ref="A75:F75"/>
    <mergeCell ref="D66:F66"/>
    <mergeCell ref="D43:F43"/>
    <mergeCell ref="A57:F57"/>
    <mergeCell ref="A2:F2"/>
    <mergeCell ref="A5:F5"/>
    <mergeCell ref="A23:F23"/>
    <mergeCell ref="A66:B66"/>
    <mergeCell ref="A35:F35"/>
    <mergeCell ref="A4:F4"/>
    <mergeCell ref="D73:F73"/>
    <mergeCell ref="D55:F55"/>
    <mergeCell ref="A55:B55"/>
    <mergeCell ref="A21:B21"/>
    <mergeCell ref="A68:F68"/>
    <mergeCell ref="A32:B32"/>
    <mergeCell ref="A58:F58"/>
    <mergeCell ref="A34:F34"/>
    <mergeCell ref="A15:F15"/>
    <mergeCell ref="A24:F24"/>
    <mergeCell ref="A43:B43"/>
    <mergeCell ref="A45:F45"/>
    <mergeCell ref="A1:F1"/>
    <mergeCell ref="A13:B13"/>
    <mergeCell ref="D21:F21"/>
    <mergeCell ref="A69:F69"/>
    <mergeCell ref="A87:F8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:XFD1048576"/>
    </sheetView>
  </sheetViews>
  <sheetFormatPr baseColWidth="8" defaultRowHeight="14.25"/>
  <cols>
    <col width="10" customWidth="1" style="24" min="1" max="1"/>
    <col width="29.25" customWidth="1" style="24" min="2" max="2"/>
    <col width="19.5" customWidth="1" style="24" min="3" max="3"/>
    <col width="13" customWidth="1" style="24" min="4" max="4"/>
    <col width="34" customWidth="1" style="24" min="5" max="5"/>
    <col width="72" customWidth="1" style="24" min="6" max="6"/>
    <col width="9" customWidth="1" style="24" min="7" max="16384"/>
  </cols>
  <sheetData>
    <row r="1" ht="33.95" customHeight="1" s="3">
      <c r="A1" s="71" t="inlineStr">
        <is>
          <t>Device → App 事件详解（一）：输入与通知</t>
        </is>
      </c>
      <c r="B1" s="61" t="n"/>
      <c r="C1" s="61" t="n"/>
      <c r="D1" s="61" t="n"/>
      <c r="E1" s="61" t="n"/>
      <c r="F1" s="143" t="n"/>
    </row>
    <row r="2" ht="21.95" customHeight="1" s="3">
      <c r="A2" s="95" t="inlineStr">
        <is>
          <t>单位：字节（Byte）；1+N = 1 字节长度前缀 + N 字节内容；简单事件包帧长 = 2 + Payload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96" t="inlineStr">
        <is>
          <t>§5.2  基础输入事件（0x01–0x06）（无 Payload）</t>
        </is>
      </c>
      <c r="B4" s="61" t="n"/>
      <c r="C4" s="61" t="n"/>
      <c r="D4" s="61" t="n"/>
      <c r="E4" s="61" t="n"/>
      <c r="F4" s="143" t="n"/>
    </row>
    <row r="5" ht="36" customHeight="1" s="3">
      <c r="A5" s="97" t="inlineStr">
        <is>
          <t>方向：Device → App（FFE2 Notify）｜传输：简单包｜用途：旋钮与电源输入｜无 payload：完整事件帧 = Type(1B) + Length(1B,=0) = 2 字节；明文（secure 模式经 0x7E 封装）</t>
        </is>
      </c>
      <c r="B5" s="61" t="n"/>
      <c r="C5" s="61" t="n"/>
      <c r="D5" s="61" t="n"/>
      <c r="E5" s="61" t="n"/>
      <c r="F5" s="143" t="n"/>
    </row>
    <row r="6" ht="21.95" customHeight="1" s="3">
      <c r="A6" s="25" t="inlineStr">
        <is>
          <t>偏移(字节)</t>
        </is>
      </c>
      <c r="B6" s="25" t="inlineStr">
        <is>
          <t>字段</t>
        </is>
      </c>
      <c r="C6" s="25" t="inlineStr">
        <is>
          <t>大小(字节)</t>
        </is>
      </c>
      <c r="D6" s="25" t="inlineStr">
        <is>
          <t>上限(字节)</t>
        </is>
      </c>
      <c r="E6" s="25" t="inlineStr">
        <is>
          <t>取值/枚举</t>
        </is>
      </c>
      <c r="F6" s="25" t="inlineStr">
        <is>
          <t>说明</t>
        </is>
      </c>
    </row>
    <row r="7" ht="21.75" customHeight="1" s="3">
      <c r="A7" s="26" t="n">
        <v>0</v>
      </c>
      <c r="B7" s="26" t="inlineStr">
        <is>
          <t>Type 0x01 EncoderRotateUp</t>
        </is>
      </c>
      <c r="C7" s="26" t="n">
        <v>0</v>
      </c>
      <c r="D7" s="26" t="inlineStr">
        <is>
          <t>-</t>
        </is>
      </c>
      <c r="E7" s="26" t="inlineStr">
        <is>
          <t>无</t>
        </is>
      </c>
      <c r="F7" s="26" t="inlineStr">
        <is>
          <t>Encoder 旋钮向上旋转（顺时针）</t>
        </is>
      </c>
    </row>
    <row r="8" ht="21.75" customHeight="1" s="3">
      <c r="A8" s="27" t="n">
        <v>0</v>
      </c>
      <c r="B8" s="27" t="inlineStr">
        <is>
          <t>Type 0x02 EncoderRotateDown</t>
        </is>
      </c>
      <c r="C8" s="27" t="n">
        <v>0</v>
      </c>
      <c r="D8" s="27" t="inlineStr">
        <is>
          <t>-</t>
        </is>
      </c>
      <c r="E8" s="27" t="inlineStr">
        <is>
          <t>无</t>
        </is>
      </c>
      <c r="F8" s="27" t="inlineStr">
        <is>
          <t>Encoder 旋钮向下旋转（逆时针）</t>
        </is>
      </c>
    </row>
    <row r="9" ht="21.75" customHeight="1" s="3">
      <c r="A9" s="26" t="n">
        <v>0</v>
      </c>
      <c r="B9" s="26" t="inlineStr">
        <is>
          <t>Type 0x03 EncoderShortPress</t>
        </is>
      </c>
      <c r="C9" s="26" t="n">
        <v>0</v>
      </c>
      <c r="D9" s="26" t="inlineStr">
        <is>
          <t>-</t>
        </is>
      </c>
      <c r="E9" s="26" t="inlineStr">
        <is>
          <t>无</t>
        </is>
      </c>
      <c r="F9" s="26" t="inlineStr">
        <is>
          <t>Encoder 旋钮短按（确认）</t>
        </is>
      </c>
    </row>
    <row r="10" ht="21.75" customHeight="1" s="3">
      <c r="A10" s="27" t="n">
        <v>0</v>
      </c>
      <c r="B10" s="27" t="inlineStr">
        <is>
          <t>Type 0x04 EncoderLongPress</t>
        </is>
      </c>
      <c r="C10" s="27" t="n">
        <v>0</v>
      </c>
      <c r="D10" s="27" t="inlineStr">
        <is>
          <t>-</t>
        </is>
      </c>
      <c r="E10" s="27" t="inlineStr">
        <is>
          <t>无</t>
        </is>
      </c>
      <c r="F10" s="27" t="inlineStr">
        <is>
          <t>Encoder 旋钮长按</t>
        </is>
      </c>
    </row>
    <row r="11" ht="21.75" customHeight="1" s="3">
      <c r="A11" s="26" t="n">
        <v>0</v>
      </c>
      <c r="B11" s="26" t="inlineStr">
        <is>
          <t>Type 0x05 PowerShortPress</t>
        </is>
      </c>
      <c r="C11" s="26" t="n">
        <v>0</v>
      </c>
      <c r="D11" s="26" t="inlineStr">
        <is>
          <t>-</t>
        </is>
      </c>
      <c r="E11" s="26" t="inlineStr">
        <is>
          <t>无</t>
        </is>
      </c>
      <c r="F11" s="26" t="inlineStr">
        <is>
          <t>电源按钮短按</t>
        </is>
      </c>
    </row>
    <row r="12" ht="21.75" customHeight="1" s="3">
      <c r="A12" s="27" t="n">
        <v>0</v>
      </c>
      <c r="B12" s="27" t="inlineStr">
        <is>
          <t>Type 0x06 PowerLongPress</t>
        </is>
      </c>
      <c r="C12" s="27" t="n">
        <v>0</v>
      </c>
      <c r="D12" s="27" t="inlineStr">
        <is>
          <t>-</t>
        </is>
      </c>
      <c r="E12" s="27" t="inlineStr">
        <is>
          <t>无</t>
        </is>
      </c>
      <c r="F12" s="27" t="inlineStr">
        <is>
          <t>电源按钮长按</t>
        </is>
      </c>
    </row>
    <row r="13" ht="29.1" customHeight="1" s="3">
      <c r="A13" s="98" t="inlineStr">
        <is>
          <t>Payload 总长（字节）</t>
        </is>
      </c>
      <c r="B13" s="143" t="n"/>
      <c r="C13" s="32">
        <f>SUM(C7:C12)</f>
        <v/>
      </c>
      <c r="D13" s="99" t="inlineStr">
        <is>
          <t>固定长度（字段均为定长字节）</t>
        </is>
      </c>
      <c r="E13" s="61" t="n"/>
      <c r="F13" s="143" t="n"/>
    </row>
    <row r="14" ht="29.1" customHeight="1" s="3">
      <c r="A14" s="98" t="inlineStr">
        <is>
          <t>完整帧长（字节）</t>
        </is>
      </c>
      <c r="B14" s="143" t="n"/>
      <c r="C14" s="32">
        <f>2+C13</f>
        <v/>
      </c>
      <c r="D14" s="99" t="inlineStr">
        <is>
          <t>简单事件包：Type(1B) + Length(1B) + Payload</t>
        </is>
      </c>
      <c r="E14" s="61" t="n"/>
      <c r="F14" s="143" t="n"/>
    </row>
    <row r="15"/>
    <row r="16" ht="24" customHeight="1" s="3">
      <c r="A16" s="100" t="inlineStr">
        <is>
          <t>§5.3  EnterTaskIn（0x10，SubVersion 0x02）</t>
        </is>
      </c>
      <c r="B16" s="61" t="n"/>
      <c r="C16" s="61" t="n"/>
      <c r="D16" s="61" t="n"/>
      <c r="E16" s="61" t="n"/>
      <c r="F16" s="143" t="n"/>
    </row>
    <row r="17" ht="36" customHeight="1" s="3">
      <c r="A17" s="101" t="inlineStr">
        <is>
          <t>方向：Device → App（FFE2 Notify）｜用途：专注开始；断连时立即本地生效并进入 OP_BATCH 等待队列，不等待 App 确认；详见「专注重连-1.2」页</t>
        </is>
      </c>
      <c r="B17" s="61" t="n"/>
      <c r="C17" s="61" t="n"/>
      <c r="D17" s="61" t="n"/>
      <c r="E17" s="61" t="n"/>
      <c r="F17" s="143" t="n"/>
    </row>
    <row r="18" ht="21.95" customHeight="1" s="3">
      <c r="A18" s="28" t="inlineStr">
        <is>
          <t>偏移(字节)</t>
        </is>
      </c>
      <c r="B18" s="28" t="inlineStr">
        <is>
          <t>字段</t>
        </is>
      </c>
      <c r="C18" s="28" t="inlineStr">
        <is>
          <t>大小(字节)</t>
        </is>
      </c>
      <c r="D18" s="28" t="inlineStr">
        <is>
          <t>上限(字节)</t>
        </is>
      </c>
      <c r="E18" s="28" t="inlineStr">
        <is>
          <t>取值/枚举</t>
        </is>
      </c>
      <c r="F18" s="28" t="inlineStr">
        <is>
          <t>说明</t>
        </is>
      </c>
    </row>
    <row r="19" ht="29.1" customHeight="1" s="3">
      <c r="A19" s="29" t="inlineStr">
        <is>
          <t>0..12</t>
        </is>
      </c>
      <c r="B19" s="29" t="inlineStr">
        <is>
          <t>SessionHeader</t>
        </is>
      </c>
      <c r="C19" s="29" t="inlineStr">
        <is>
          <t>13</t>
        </is>
      </c>
      <c r="D19" s="29" t="inlineStr">
        <is>
          <t>-</t>
        </is>
      </c>
      <c r="E19" s="29" t="inlineStr">
        <is>
          <t>SubVersion(1)+OperationID(4)+FocusSessionId(8)</t>
        </is>
      </c>
      <c r="F19" s="29" t="inlineStr">
        <is>
          <t>OperationID 非零；FocusSessionId 唯一</t>
        </is>
      </c>
    </row>
    <row r="20" ht="29.1" customHeight="1" s="3">
      <c r="A20" s="30" t="inlineStr">
        <is>
          <t>13..</t>
        </is>
      </c>
      <c r="B20" s="30" t="inlineStr">
        <is>
          <t>TaskId</t>
        </is>
      </c>
      <c r="C20" s="30" t="inlineStr">
        <is>
          <t>1+N</t>
        </is>
      </c>
      <c r="D20" s="30" t="inlineStr">
        <is>
          <t>N≤36</t>
        </is>
      </c>
      <c r="E20" s="30" t="inlineStr">
        <is>
          <t>TaskIdLength(1)+TaskId(N)</t>
        </is>
      </c>
      <c r="F20" s="30" t="inlineStr">
        <is>
          <t>当前 Overview 条目的硬件任务 ID</t>
        </is>
      </c>
    </row>
    <row r="21" ht="29.1" customHeight="1" s="3">
      <c r="A21" s="29" t="inlineStr">
        <is>
          <t>14+N..17+N</t>
        </is>
      </c>
      <c r="B21" s="29" t="inlineStr">
        <is>
          <t>StartTimestamp</t>
        </is>
      </c>
      <c r="C21" s="29" t="inlineStr">
        <is>
          <t>4</t>
        </is>
      </c>
      <c r="D21" s="29" t="inlineStr">
        <is>
          <t>-</t>
        </is>
      </c>
      <c r="E21" s="29" t="inlineStr">
        <is>
          <t>UInt32 BE Unix Timestamp</t>
        </is>
      </c>
      <c r="F21" s="29" t="inlineStr">
        <is>
          <t>RTC 无效时置 0，由 App 按 elapsed 回推</t>
        </is>
      </c>
    </row>
    <row r="22" ht="29.1" customHeight="1" s="3">
      <c r="A22" s="102" t="inlineStr">
        <is>
          <t>Payload 总长（字节）</t>
        </is>
      </c>
      <c r="B22" s="143" t="n"/>
      <c r="C22" s="32" t="inlineStr">
        <is>
          <t>18+N</t>
        </is>
      </c>
      <c r="D22" s="103" t="inlineStr">
        <is>
          <t>SubVersion(1)+OperationID(4)+FocusSessionId(8)+TaskId(1+N)+StartTimestamp(4)</t>
        </is>
      </c>
      <c r="E22" s="61" t="n"/>
      <c r="F22" s="143" t="n"/>
    </row>
    <row r="23" ht="29.1" customHeight="1" s="3">
      <c r="A23" s="102" t="inlineStr">
        <is>
          <t>完整帧长（字节）</t>
        </is>
      </c>
      <c r="B23" s="143" t="n"/>
      <c r="C23" s="32" t="inlineStr">
        <is>
          <t>2 + Payload（变长）</t>
        </is>
      </c>
      <c r="D23" s="103" t="inlineStr">
        <is>
          <t>简单事件包：Type(1B) + Length(1B) + Payload</t>
        </is>
      </c>
      <c r="E23" s="61" t="n"/>
      <c r="F23" s="143" t="n"/>
    </row>
    <row r="24"/>
    <row r="25" ht="24" customHeight="1" s="3">
      <c r="A25" s="96" t="inlineStr">
        <is>
          <t>§5.6  SelectedTaskChanged（0x13）</t>
        </is>
      </c>
      <c r="B25" s="61" t="n"/>
      <c r="C25" s="61" t="n"/>
      <c r="D25" s="61" t="n"/>
      <c r="E25" s="61" t="n"/>
      <c r="F25" s="143" t="n"/>
    </row>
    <row r="26" ht="36" customHeight="1" s="3">
      <c r="A26" s="97" t="inlineStr">
        <is>
          <t>方向：Device → App（FFE2 Notify）｜传输：简单包｜用途：用户在概览页切换选中的任务；明文（secure 模式经 0x7E 封装）</t>
        </is>
      </c>
      <c r="B26" s="61" t="n"/>
      <c r="C26" s="61" t="n"/>
      <c r="D26" s="61" t="n"/>
      <c r="E26" s="61" t="n"/>
      <c r="F26" s="143" t="n"/>
    </row>
    <row r="27" ht="21.95" customHeight="1" s="3">
      <c r="A27" s="25" t="inlineStr">
        <is>
          <t>偏移(字节)</t>
        </is>
      </c>
      <c r="B27" s="25" t="inlineStr">
        <is>
          <t>字段</t>
        </is>
      </c>
      <c r="C27" s="25" t="inlineStr">
        <is>
          <t>大小(字节)</t>
        </is>
      </c>
      <c r="D27" s="25" t="inlineStr">
        <is>
          <t>上限(字节)</t>
        </is>
      </c>
      <c r="E27" s="25" t="inlineStr">
        <is>
          <t>取值/枚举</t>
        </is>
      </c>
      <c r="F27" s="25" t="inlineStr">
        <is>
          <t>说明</t>
        </is>
      </c>
    </row>
    <row r="28" ht="29.1" customHeight="1" s="3">
      <c r="A28" s="26" t="n">
        <v>0</v>
      </c>
      <c r="B28" s="26" t="inlineStr">
        <is>
          <t>Length</t>
        </is>
      </c>
      <c r="C28" s="26" t="n">
        <v>1</v>
      </c>
      <c r="D28" s="26" t="inlineStr">
        <is>
          <t>-</t>
        </is>
      </c>
      <c r="E28" s="26" t="inlineStr">
        <is>
          <t>0–255</t>
        </is>
      </c>
      <c r="F28" s="26" t="inlineStr">
        <is>
          <t>TaskId 长度</t>
        </is>
      </c>
    </row>
    <row r="29" ht="29.1" customHeight="1" s="3">
      <c r="A29" s="27" t="n">
        <v>1</v>
      </c>
      <c r="B29" s="27" t="inlineStr">
        <is>
          <t>TaskId</t>
        </is>
      </c>
      <c r="C29" s="27" t="inlineStr">
        <is>
          <t>N</t>
        </is>
      </c>
      <c r="D29" s="27" t="inlineStr">
        <is>
          <t>-</t>
        </is>
      </c>
      <c r="E29" s="27" t="inlineStr">
        <is>
          <t>UTF-8</t>
        </is>
      </c>
      <c r="F29" s="27" t="inlineStr">
        <is>
          <t>当前 Overview 条目的硬件任务 ID</t>
        </is>
      </c>
    </row>
    <row r="30" ht="29.1" customHeight="1" s="3">
      <c r="A30" s="98" t="inlineStr">
        <is>
          <t>Payload 总长（字节）</t>
        </is>
      </c>
      <c r="B30" s="143" t="n"/>
      <c r="C30" s="32" t="inlineStr">
        <is>
          <t>变长</t>
        </is>
      </c>
      <c r="D30" s="99" t="inlineStr">
        <is>
          <t>可变：Length(1) + TaskId(N) = 1+N</t>
        </is>
      </c>
      <c r="E30" s="61" t="n"/>
      <c r="F30" s="143" t="n"/>
    </row>
    <row r="31" ht="29.1" customHeight="1" s="3">
      <c r="A31" s="98" t="inlineStr">
        <is>
          <t>完整帧长（字节）</t>
        </is>
      </c>
      <c r="B31" s="143" t="n"/>
      <c r="C31" s="32" t="inlineStr">
        <is>
          <t>2 + Payload（变长）</t>
        </is>
      </c>
      <c r="D31" s="99" t="inlineStr">
        <is>
          <t>简单事件包：Type(1B) + Length(1B) + Payload</t>
        </is>
      </c>
      <c r="E31" s="61" t="n"/>
      <c r="F31" s="143" t="n"/>
    </row>
    <row r="32"/>
    <row r="33" ht="24" customHeight="1" s="3">
      <c r="A33" s="96" t="inlineStr">
        <is>
          <t>§5.10  WheelSelect（0x14）</t>
        </is>
      </c>
      <c r="B33" s="61" t="n"/>
      <c r="C33" s="61" t="n"/>
      <c r="D33" s="61" t="n"/>
      <c r="E33" s="61" t="n"/>
      <c r="F33" s="143" t="n"/>
    </row>
    <row r="34" ht="36" customHeight="1" s="3">
      <c r="A34" s="97" t="inlineStr">
        <is>
          <t>方向：Device → App（FFE2 Notify）｜传输：简单包｜用途：Encoder 旋钮按下（旋钮选择确认）｜App 当前仅记录/调试，不回发页面数据；明文（secure 模式经 0x7E 封装）</t>
        </is>
      </c>
      <c r="B34" s="61" t="n"/>
      <c r="C34" s="61" t="n"/>
      <c r="D34" s="61" t="n"/>
      <c r="E34" s="61" t="n"/>
      <c r="F34" s="143" t="n"/>
    </row>
    <row r="35" ht="21.95" customHeight="1" s="3">
      <c r="A35" s="25" t="inlineStr">
        <is>
          <t>偏移(字节)</t>
        </is>
      </c>
      <c r="B35" s="25" t="inlineStr">
        <is>
          <t>字段</t>
        </is>
      </c>
      <c r="C35" s="25" t="inlineStr">
        <is>
          <t>大小(字节)</t>
        </is>
      </c>
      <c r="D35" s="25" t="inlineStr">
        <is>
          <t>上限(字节)</t>
        </is>
      </c>
      <c r="E35" s="25" t="inlineStr">
        <is>
          <t>取值/枚举</t>
        </is>
      </c>
      <c r="F35" s="25" t="inlineStr">
        <is>
          <t>说明</t>
        </is>
      </c>
    </row>
    <row r="36" ht="29.1" customHeight="1" s="3">
      <c r="A36" s="26" t="n">
        <v>0</v>
      </c>
      <c r="B36" s="26" t="inlineStr">
        <is>
          <t>Length</t>
        </is>
      </c>
      <c r="C36" s="26" t="n">
        <v>1</v>
      </c>
      <c r="D36" s="26" t="inlineStr">
        <is>
          <t>-</t>
        </is>
      </c>
      <c r="E36" s="26" t="inlineStr">
        <is>
          <t>0–255</t>
        </is>
      </c>
      <c r="F36" s="26" t="inlineStr">
        <is>
          <t>选中项 ID 长度</t>
        </is>
      </c>
    </row>
    <row r="37" ht="29.1" customHeight="1" s="3">
      <c r="A37" s="27" t="n">
        <v>1</v>
      </c>
      <c r="B37" s="27" t="inlineStr">
        <is>
          <t>ItemId</t>
        </is>
      </c>
      <c r="C37" s="27" t="inlineStr">
        <is>
          <t>N</t>
        </is>
      </c>
      <c r="D37" s="27" t="inlineStr">
        <is>
          <t>-</t>
        </is>
      </c>
      <c r="E37" s="27" t="inlineStr">
        <is>
          <t>UTF-8</t>
        </is>
      </c>
      <c r="F37" s="27" t="inlineStr">
        <is>
          <t>选中项 ID</t>
        </is>
      </c>
    </row>
    <row r="38" ht="29.1" customHeight="1" s="3">
      <c r="A38" s="98" t="inlineStr">
        <is>
          <t>Payload 总长（字节）</t>
        </is>
      </c>
      <c r="B38" s="143" t="n"/>
      <c r="C38" s="32" t="inlineStr">
        <is>
          <t>变长</t>
        </is>
      </c>
      <c r="D38" s="99" t="inlineStr">
        <is>
          <t>可变：Length(1) + ItemId(N) = 1+N</t>
        </is>
      </c>
      <c r="E38" s="61" t="n"/>
      <c r="F38" s="143" t="n"/>
    </row>
    <row r="39" ht="29.1" customHeight="1" s="3">
      <c r="A39" s="98" t="inlineStr">
        <is>
          <t>完整帧长（字节）</t>
        </is>
      </c>
      <c r="B39" s="143" t="n"/>
      <c r="C39" s="32" t="inlineStr">
        <is>
          <t>2 + Payload（变长）</t>
        </is>
      </c>
      <c r="D39" s="99" t="inlineStr">
        <is>
          <t>简单事件包：Type(1B) + Length(1B) + Payload</t>
        </is>
      </c>
      <c r="E39" s="61" t="n"/>
      <c r="F39" s="143" t="n"/>
    </row>
    <row r="40"/>
    <row r="41" ht="24" customHeight="1" s="3">
      <c r="A41" s="96" t="inlineStr">
        <is>
          <t>§5.11  ViewEventDetail（0x15）</t>
        </is>
      </c>
      <c r="B41" s="61" t="n"/>
      <c r="C41" s="61" t="n"/>
      <c r="D41" s="61" t="n"/>
      <c r="E41" s="61" t="n"/>
      <c r="F41" s="143" t="n"/>
    </row>
    <row r="42" ht="36" customHeight="1" s="3">
      <c r="A42" s="97" t="inlineStr">
        <is>
          <t>方向：Device → App（FFE2 Notify）｜传输：简单包｜用途：用户查看日历事件详情｜App 无需响应（自动超时返回概览页）；明文（secure 模式经 0x7E 封装）</t>
        </is>
      </c>
      <c r="B42" s="61" t="n"/>
      <c r="C42" s="61" t="n"/>
      <c r="D42" s="61" t="n"/>
      <c r="E42" s="61" t="n"/>
      <c r="F42" s="143" t="n"/>
    </row>
    <row r="43" ht="21.95" customHeight="1" s="3">
      <c r="A43" s="25" t="inlineStr">
        <is>
          <t>偏移(字节)</t>
        </is>
      </c>
      <c r="B43" s="25" t="inlineStr">
        <is>
          <t>字段</t>
        </is>
      </c>
      <c r="C43" s="25" t="inlineStr">
        <is>
          <t>大小(字节)</t>
        </is>
      </c>
      <c r="D43" s="25" t="inlineStr">
        <is>
          <t>上限(字节)</t>
        </is>
      </c>
      <c r="E43" s="25" t="inlineStr">
        <is>
          <t>取值/枚举</t>
        </is>
      </c>
      <c r="F43" s="25" t="inlineStr">
        <is>
          <t>说明</t>
        </is>
      </c>
    </row>
    <row r="44" ht="29.1" customHeight="1" s="3">
      <c r="A44" s="26" t="n">
        <v>0</v>
      </c>
      <c r="B44" s="26" t="inlineStr">
        <is>
          <t>Length</t>
        </is>
      </c>
      <c r="C44" s="26" t="n">
        <v>1</v>
      </c>
      <c r="D44" s="26" t="inlineStr">
        <is>
          <t>-</t>
        </is>
      </c>
      <c r="E44" s="26" t="inlineStr">
        <is>
          <t>0–255</t>
        </is>
      </c>
      <c r="F44" s="26" t="inlineStr">
        <is>
          <t>EventId 长度</t>
        </is>
      </c>
    </row>
    <row r="45" ht="29.1" customHeight="1" s="3">
      <c r="A45" s="27" t="n">
        <v>1</v>
      </c>
      <c r="B45" s="27" t="inlineStr">
        <is>
          <t>EventId</t>
        </is>
      </c>
      <c r="C45" s="27" t="inlineStr">
        <is>
          <t>N</t>
        </is>
      </c>
      <c r="D45" s="27" t="inlineStr">
        <is>
          <t>-</t>
        </is>
      </c>
      <c r="E45" s="27" t="inlineStr">
        <is>
          <t>UTF-8</t>
        </is>
      </c>
      <c r="F45" s="27" t="inlineStr">
        <is>
          <t>Event ID</t>
        </is>
      </c>
    </row>
    <row r="46" ht="29.1" customHeight="1" s="3">
      <c r="A46" s="98" t="inlineStr">
        <is>
          <t>Payload 总长（字节）</t>
        </is>
      </c>
      <c r="B46" s="143" t="n"/>
      <c r="C46" s="32" t="inlineStr">
        <is>
          <t>变长</t>
        </is>
      </c>
      <c r="D46" s="99" t="inlineStr">
        <is>
          <t>可变：Length(1) + EventId(N) = 1+N</t>
        </is>
      </c>
      <c r="E46" s="61" t="n"/>
      <c r="F46" s="143" t="n"/>
    </row>
    <row r="47" ht="29.1" customHeight="1" s="3">
      <c r="A47" s="98" t="inlineStr">
        <is>
          <t>完整帧长（字节）</t>
        </is>
      </c>
      <c r="B47" s="143" t="n"/>
      <c r="C47" s="32" t="inlineStr">
        <is>
          <t>2 + Payload（变长）</t>
        </is>
      </c>
      <c r="D47" s="99" t="inlineStr">
        <is>
          <t>简单事件包：Type(1B) + Length(1B) + Payload</t>
        </is>
      </c>
      <c r="E47" s="61" t="n"/>
      <c r="F47" s="143" t="n"/>
    </row>
    <row r="48"/>
    <row r="49" ht="24" customHeight="1" s="3">
      <c r="A49" s="96" t="inlineStr">
        <is>
          <t>§5.12  ReminderAcknowledged（0x16）</t>
        </is>
      </c>
      <c r="B49" s="61" t="n"/>
      <c r="C49" s="61" t="n"/>
      <c r="D49" s="61" t="n"/>
      <c r="E49" s="61" t="n"/>
      <c r="F49" s="143" t="n"/>
    </row>
    <row r="50" ht="36" customHeight="1" s="3">
      <c r="A50" s="97" t="inlineStr">
        <is>
          <t>方向：Device → App（FFE2 Notify）｜传输：简单包｜用途：用户确认智能提醒；明文（secure 模式经 0x7E 封装）</t>
        </is>
      </c>
      <c r="B50" s="61" t="n"/>
      <c r="C50" s="61" t="n"/>
      <c r="D50" s="61" t="n"/>
      <c r="E50" s="61" t="n"/>
      <c r="F50" s="143" t="n"/>
    </row>
    <row r="51" ht="21.95" customHeight="1" s="3">
      <c r="A51" s="25" t="inlineStr">
        <is>
          <t>偏移(字节)</t>
        </is>
      </c>
      <c r="B51" s="25" t="inlineStr">
        <is>
          <t>字段</t>
        </is>
      </c>
      <c r="C51" s="25" t="inlineStr">
        <is>
          <t>大小(字节)</t>
        </is>
      </c>
      <c r="D51" s="25" t="inlineStr">
        <is>
          <t>上限(字节)</t>
        </is>
      </c>
      <c r="E51" s="25" t="inlineStr">
        <is>
          <t>取值/枚举</t>
        </is>
      </c>
      <c r="F51" s="25" t="inlineStr">
        <is>
          <t>说明</t>
        </is>
      </c>
    </row>
    <row r="52" ht="29.1" customHeight="1" s="3">
      <c r="A52" s="26" t="n">
        <v>0</v>
      </c>
      <c r="B52" s="26" t="inlineStr">
        <is>
          <t>Timestamp</t>
        </is>
      </c>
      <c r="C52" s="26" t="n">
        <v>4</v>
      </c>
      <c r="D52" s="26" t="inlineStr">
        <is>
          <t>-</t>
        </is>
      </c>
      <c r="E52" s="26" t="inlineStr">
        <is>
          <t>UInt32 BE</t>
        </is>
      </c>
      <c r="F52" s="26" t="inlineStr">
        <is>
          <t>Unix Timestamp</t>
        </is>
      </c>
    </row>
    <row r="53" ht="29.1" customHeight="1" s="3">
      <c r="A53" s="98" t="inlineStr">
        <is>
          <t>Payload 总长（字节）</t>
        </is>
      </c>
      <c r="B53" s="143" t="n"/>
      <c r="C53" s="32">
        <f>SUM(C52:C52)</f>
        <v/>
      </c>
      <c r="D53" s="99" t="inlineStr">
        <is>
          <t>固定长度（字段均为定长字节）</t>
        </is>
      </c>
      <c r="E53" s="61" t="n"/>
      <c r="F53" s="143" t="n"/>
    </row>
    <row r="54" ht="29.1" customHeight="1" s="3">
      <c r="A54" s="98" t="inlineStr">
        <is>
          <t>完整帧长（字节）</t>
        </is>
      </c>
      <c r="B54" s="143" t="n"/>
      <c r="C54" s="32">
        <f>2+C53</f>
        <v/>
      </c>
      <c r="D54" s="99" t="inlineStr">
        <is>
          <t>简单事件包：Type(1B) + Length(1B) + Payload</t>
        </is>
      </c>
      <c r="E54" s="61" t="n"/>
      <c r="F54" s="143" t="n"/>
    </row>
    <row r="55"/>
    <row r="56" ht="24" customHeight="1" s="3">
      <c r="A56" s="96" t="inlineStr">
        <is>
          <t>§5.13  ReminderDismissed（0x17）</t>
        </is>
      </c>
      <c r="B56" s="61" t="n"/>
      <c r="C56" s="61" t="n"/>
      <c r="D56" s="61" t="n"/>
      <c r="E56" s="61" t="n"/>
      <c r="F56" s="143" t="n"/>
    </row>
    <row r="57" ht="36" customHeight="1" s="3">
      <c r="A57" s="97" t="inlineStr">
        <is>
          <t>方向：Device → App（FFE2 Notify）｜传输：简单包｜用途：智能提醒超时自动消失；明文（secure 模式经 0x7E 封装）</t>
        </is>
      </c>
      <c r="B57" s="61" t="n"/>
      <c r="C57" s="61" t="n"/>
      <c r="D57" s="61" t="n"/>
      <c r="E57" s="61" t="n"/>
      <c r="F57" s="143" t="n"/>
    </row>
    <row r="58" ht="21.95" customHeight="1" s="3">
      <c r="A58" s="25" t="inlineStr">
        <is>
          <t>偏移(字节)</t>
        </is>
      </c>
      <c r="B58" s="25" t="inlineStr">
        <is>
          <t>字段</t>
        </is>
      </c>
      <c r="C58" s="25" t="inlineStr">
        <is>
          <t>大小(字节)</t>
        </is>
      </c>
      <c r="D58" s="25" t="inlineStr">
        <is>
          <t>上限(字节)</t>
        </is>
      </c>
      <c r="E58" s="25" t="inlineStr">
        <is>
          <t>取值/枚举</t>
        </is>
      </c>
      <c r="F58" s="25" t="inlineStr">
        <is>
          <t>说明</t>
        </is>
      </c>
    </row>
    <row r="59" ht="29.1" customHeight="1" s="3">
      <c r="A59" s="26" t="n">
        <v>0</v>
      </c>
      <c r="B59" s="26" t="inlineStr">
        <is>
          <t>Timestamp</t>
        </is>
      </c>
      <c r="C59" s="26" t="n">
        <v>4</v>
      </c>
      <c r="D59" s="26" t="inlineStr">
        <is>
          <t>-</t>
        </is>
      </c>
      <c r="E59" s="26" t="inlineStr">
        <is>
          <t>UInt32 BE</t>
        </is>
      </c>
      <c r="F59" s="26" t="inlineStr">
        <is>
          <t>Unix Timestamp</t>
        </is>
      </c>
    </row>
    <row r="60" ht="29.1" customHeight="1" s="3">
      <c r="A60" s="98" t="inlineStr">
        <is>
          <t>Payload 总长（字节）</t>
        </is>
      </c>
      <c r="B60" s="143" t="n"/>
      <c r="C60" s="32">
        <f>SUM(C59:C59)</f>
        <v/>
      </c>
      <c r="D60" s="99" t="inlineStr">
        <is>
          <t>固定长度（字段均为定长字节）</t>
        </is>
      </c>
      <c r="E60" s="61" t="n"/>
      <c r="F60" s="143" t="n"/>
    </row>
    <row r="61" ht="29.1" customHeight="1" s="3">
      <c r="A61" s="98" t="inlineStr">
        <is>
          <t>完整帧长（字节）</t>
        </is>
      </c>
      <c r="B61" s="143" t="n"/>
      <c r="C61" s="32">
        <f>2+C60</f>
        <v/>
      </c>
      <c r="D61" s="99" t="inlineStr">
        <is>
          <t>简单事件包：Type(1B) + Length(1B) + Payload</t>
        </is>
      </c>
      <c r="E61" s="61" t="n"/>
      <c r="F61" s="143" t="n"/>
    </row>
    <row r="62"/>
    <row r="63" ht="24" customHeight="1" s="3">
      <c r="A63" s="96" t="inlineStr">
        <is>
          <t>§5.7  RequestRefresh（0x20）</t>
        </is>
      </c>
      <c r="B63" s="61" t="n"/>
      <c r="C63" s="61" t="n"/>
      <c r="D63" s="61" t="n"/>
      <c r="E63" s="61" t="n"/>
      <c r="F63" s="143" t="n"/>
    </row>
    <row r="64" ht="51" customHeight="1" s="3">
      <c r="A64" s="97" t="inlineStr">
        <is>
          <t>方向：Device → App（FFE2 Notify）｜传输：简单包｜用途：设备请求数据刷新（v2.9 严格 v1）｜实时控制请求，禁止写入/重放到 EventLogBatch；专注期间固件约每 5 分钟周期发送；明文（secure 模式经 0x7E 封装）</t>
        </is>
      </c>
      <c r="B64" s="61" t="n"/>
      <c r="C64" s="61" t="n"/>
      <c r="D64" s="61" t="n"/>
      <c r="E64" s="61" t="n"/>
      <c r="F64" s="143" t="n"/>
    </row>
    <row r="65" ht="21.95" customHeight="1" s="3">
      <c r="A65" s="25" t="inlineStr">
        <is>
          <t>偏移(字节)</t>
        </is>
      </c>
      <c r="B65" s="25" t="inlineStr">
        <is>
          <t>字段</t>
        </is>
      </c>
      <c r="C65" s="25" t="inlineStr">
        <is>
          <t>大小(字节)</t>
        </is>
      </c>
      <c r="D65" s="25" t="inlineStr">
        <is>
          <t>上限(字节)</t>
        </is>
      </c>
      <c r="E65" s="25" t="inlineStr">
        <is>
          <t>取值/枚举</t>
        </is>
      </c>
      <c r="F65" s="25" t="inlineStr">
        <is>
          <t>说明</t>
        </is>
      </c>
    </row>
    <row r="66" ht="29.1" customHeight="1" s="3">
      <c r="A66" s="26" t="n">
        <v>0</v>
      </c>
      <c r="B66" s="26" t="inlineStr">
        <is>
          <t>SubVersion</t>
        </is>
      </c>
      <c r="C66" s="26" t="n">
        <v>1</v>
      </c>
      <c r="D66" s="26" t="inlineStr">
        <is>
          <t>-</t>
        </is>
      </c>
      <c r="E66" s="26" t="inlineStr">
        <is>
          <t>固定 0x01</t>
        </is>
      </c>
      <c r="F66" s="26" t="inlineStr">
        <is>
          <t>其他版本或空 payload 旧格式拒绝</t>
        </is>
      </c>
    </row>
    <row r="67" ht="29.1" customHeight="1" s="3">
      <c r="A67" s="27" t="n">
        <v>1</v>
      </c>
      <c r="B67" s="27" t="inlineStr">
        <is>
          <t>RequestID</t>
        </is>
      </c>
      <c r="C67" s="27" t="n">
        <v>4</v>
      </c>
      <c r="D67" s="27" t="inlineStr">
        <is>
          <t>-</t>
        </is>
      </c>
      <c r="E67" s="27" t="inlineStr">
        <is>
          <t>UInt32 BE</t>
        </is>
      </c>
      <c r="F67" s="27" t="inlineStr">
        <is>
          <t>必须非零；对应 0x1B.OperationID；重试时原样复用</t>
        </is>
      </c>
    </row>
    <row r="68" ht="29.1" customHeight="1" s="3">
      <c r="A68" s="98" t="inlineStr">
        <is>
          <t>Payload 总长（字节）</t>
        </is>
      </c>
      <c r="B68" s="143" t="n"/>
      <c r="C68" s="32">
        <f>SUM(C66:C67)</f>
        <v/>
      </c>
      <c r="D68" s="99" t="inlineStr">
        <is>
          <t>固定长度（字段均为定长字节）</t>
        </is>
      </c>
      <c r="E68" s="61" t="n"/>
      <c r="F68" s="143" t="n"/>
    </row>
    <row r="69" ht="29.1" customHeight="1" s="3">
      <c r="A69" s="98" t="inlineStr">
        <is>
          <t>完整帧长（字节）</t>
        </is>
      </c>
      <c r="B69" s="143" t="n"/>
      <c r="C69" s="32">
        <f>2+C68</f>
        <v/>
      </c>
      <c r="D69" s="99" t="inlineStr">
        <is>
          <t>简单事件包：Type(1B) + Length(1B) + Payload</t>
        </is>
      </c>
      <c r="E69" s="61" t="n"/>
      <c r="F69" s="143" t="n"/>
    </row>
    <row r="70"/>
    <row r="71" ht="24" customHeight="1" s="3">
      <c r="A71" s="96" t="inlineStr">
        <is>
          <t>§5.8  DeviceWake（0x30）</t>
        </is>
      </c>
      <c r="B71" s="61" t="n"/>
      <c r="C71" s="61" t="n"/>
      <c r="D71" s="61" t="n"/>
      <c r="E71" s="61" t="n"/>
      <c r="F71" s="143" t="n"/>
    </row>
    <row r="72" ht="51" customHeight="1" s="3">
      <c r="A72" s="97" t="inlineStr">
        <is>
          <t>方向：Device → App（FFE2 Notify）｜传输：简单包｜用途：设备上线通知 / Wake Notify｜BLE Notify 建立后固件主动上报；v2.7 实时帧固定 29B（App 仍可读旧 0/1/4/9B 包）；明文（secure 模式经 0x7E 封装）</t>
        </is>
      </c>
      <c r="B72" s="61" t="n"/>
      <c r="C72" s="61" t="n"/>
      <c r="D72" s="61" t="n"/>
      <c r="E72" s="61" t="n"/>
      <c r="F72" s="143" t="n"/>
    </row>
    <row r="73" ht="21.95" customHeight="1" s="3">
      <c r="A73" s="25" t="inlineStr">
        <is>
          <t>偏移(字节)</t>
        </is>
      </c>
      <c r="B73" s="25" t="inlineStr">
        <is>
          <t>字段</t>
        </is>
      </c>
      <c r="C73" s="25" t="inlineStr">
        <is>
          <t>大小(字节)</t>
        </is>
      </c>
      <c r="D73" s="25" t="inlineStr">
        <is>
          <t>上限(字节)</t>
        </is>
      </c>
      <c r="E73" s="25" t="inlineStr">
        <is>
          <t>取值/枚举</t>
        </is>
      </c>
      <c r="F73" s="25" t="inlineStr">
        <is>
          <t>说明</t>
        </is>
      </c>
    </row>
    <row r="74" ht="29.1" customHeight="1" s="3">
      <c r="A74" s="26" t="n">
        <v>0</v>
      </c>
      <c r="B74" s="26" t="inlineStr">
        <is>
          <t>BatteryLevel</t>
        </is>
      </c>
      <c r="C74" s="26" t="n">
        <v>1</v>
      </c>
      <c r="D74" s="26" t="inlineStr">
        <is>
          <t>-</t>
        </is>
      </c>
      <c r="E74" s="26" t="inlineStr">
        <is>
          <t>clamp 0–100</t>
        </is>
      </c>
      <c r="F74" s="26" t="inlineStr">
        <is>
          <t>当前电量百分比</t>
        </is>
      </c>
    </row>
    <row r="75" ht="29.1" customHeight="1" s="3">
      <c r="A75" s="27" t="n">
        <v>1</v>
      </c>
      <c r="B75" s="27" t="inlineStr">
        <is>
          <t>FwMajor</t>
        </is>
      </c>
      <c r="C75" s="27" t="n">
        <v>1</v>
      </c>
      <c r="D75" s="27" t="inlineStr">
        <is>
          <t>-</t>
        </is>
      </c>
      <c r="E75" s="27" t="inlineStr">
        <is>
          <t>0–255</t>
        </is>
      </c>
      <c r="F75" s="27" t="inlineStr">
        <is>
          <t>固件版本 Major（v2.5.19 追加）</t>
        </is>
      </c>
    </row>
    <row r="76" ht="29.1" customHeight="1" s="3">
      <c r="A76" s="26" t="n">
        <v>2</v>
      </c>
      <c r="B76" s="26" t="inlineStr">
        <is>
          <t>FwMinor</t>
        </is>
      </c>
      <c r="C76" s="26" t="n">
        <v>1</v>
      </c>
      <c r="D76" s="26" t="inlineStr">
        <is>
          <t>-</t>
        </is>
      </c>
      <c r="E76" s="26" t="inlineStr">
        <is>
          <t>0–255</t>
        </is>
      </c>
      <c r="F76" s="26" t="inlineStr">
        <is>
          <t>固件版本 Minor</t>
        </is>
      </c>
    </row>
    <row r="77" ht="29.1" customHeight="1" s="3">
      <c r="A77" s="27" t="n">
        <v>3</v>
      </c>
      <c r="B77" s="27" t="inlineStr">
        <is>
          <t>FwPatch</t>
        </is>
      </c>
      <c r="C77" s="27" t="n">
        <v>1</v>
      </c>
      <c r="D77" s="27" t="inlineStr">
        <is>
          <t>-</t>
        </is>
      </c>
      <c r="E77" s="27" t="inlineStr">
        <is>
          <t>0–255</t>
        </is>
      </c>
      <c r="F77" s="27" t="inlineStr">
        <is>
          <t>固件版本 Patch</t>
        </is>
      </c>
    </row>
    <row r="78" ht="29.1" customHeight="1" s="3">
      <c r="A78" s="26" t="n">
        <v>4</v>
      </c>
      <c r="B78" s="26" t="inlineStr">
        <is>
          <t>AvatarState</t>
        </is>
      </c>
      <c r="C78" s="26" t="n">
        <v>1</v>
      </c>
      <c r="D78" s="26" t="inlineStr">
        <is>
          <t>-</t>
        </is>
      </c>
      <c r="E78" s="26" t="inlineStr">
        <is>
          <t>0x00 / 0x01</t>
        </is>
      </c>
      <c r="F78" s="26" t="inlineStr">
        <is>
          <t>0x00=正式库存无头像，0x01=有 committed KRI</t>
        </is>
      </c>
    </row>
    <row r="79" ht="29.1" customHeight="1" s="3">
      <c r="A79" s="27" t="n">
        <v>5</v>
      </c>
      <c r="B79" s="27" t="inlineStr">
        <is>
          <t>AvatarID</t>
        </is>
      </c>
      <c r="C79" s="27" t="n">
        <v>16</v>
      </c>
      <c r="D79" s="27" t="inlineStr">
        <is>
          <t>-</t>
        </is>
      </c>
      <c r="E79" s="27" t="inlineStr">
        <is>
          <t>16 原始字节</t>
        </is>
      </c>
      <c r="F79" s="27" t="inlineStr">
        <is>
          <t>正式头像 UUID；AvatarState=0 时全填 0</t>
        </is>
      </c>
    </row>
    <row r="80" ht="29.1" customHeight="1" s="3">
      <c r="A80" s="26" t="n">
        <v>21</v>
      </c>
      <c r="B80" s="26" t="inlineStr">
        <is>
          <t>FileLength</t>
        </is>
      </c>
      <c r="C80" s="26" t="n">
        <v>4</v>
      </c>
      <c r="D80" s="26" t="inlineStr">
        <is>
          <t>-</t>
        </is>
      </c>
      <c r="E80" s="26" t="inlineStr">
        <is>
          <t>UInt32 BE</t>
        </is>
      </c>
      <c r="F80" s="26" t="inlineStr">
        <is>
          <t>committed KRI 文件长度；无图填 0</t>
        </is>
      </c>
    </row>
    <row r="81" ht="29.1" customHeight="1" s="3">
      <c r="A81" s="27" t="n">
        <v>25</v>
      </c>
      <c r="B81" s="27" t="inlineStr">
        <is>
          <t>AvatarCRC32</t>
        </is>
      </c>
      <c r="C81" s="27" t="n">
        <v>4</v>
      </c>
      <c r="D81" s="27" t="inlineStr">
        <is>
          <t>-</t>
        </is>
      </c>
      <c r="E81" s="27" t="inlineStr">
        <is>
          <t>CRC-32/IEEE BE</t>
        </is>
      </c>
      <c r="F81" s="27" t="inlineStr">
        <is>
          <t>committed KRI 文件校验值；无图填 0</t>
        </is>
      </c>
    </row>
    <row r="82" ht="29.1" customHeight="1" s="3">
      <c r="A82" s="98" t="inlineStr">
        <is>
          <t>Payload 总长（字节）</t>
        </is>
      </c>
      <c r="B82" s="143" t="n"/>
      <c r="C82" s="32">
        <f>SUM(C74:C81)</f>
        <v/>
      </c>
      <c r="D82" s="99" t="inlineStr">
        <is>
          <t>固定长度（字段均为定长字节）</t>
        </is>
      </c>
      <c r="E82" s="61" t="n"/>
      <c r="F82" s="143" t="n"/>
    </row>
    <row r="83" ht="29.1" customHeight="1" s="3">
      <c r="A83" s="98" t="inlineStr">
        <is>
          <t>完整帧长（字节）</t>
        </is>
      </c>
      <c r="B83" s="143" t="n"/>
      <c r="C83" s="32">
        <f>2+C82</f>
        <v/>
      </c>
      <c r="D83" s="99" t="inlineStr">
        <is>
          <t>简单事件包：Type(1B) + Length(1B) + Payload</t>
        </is>
      </c>
      <c r="E83" s="61" t="n"/>
      <c r="F83" s="143" t="n"/>
    </row>
    <row r="84"/>
    <row r="85" ht="24" customHeight="1" s="3">
      <c r="A85" s="96" t="inlineStr">
        <is>
          <t>§5.9  DeviceSleep（0x31）</t>
        </is>
      </c>
      <c r="B85" s="61" t="n"/>
      <c r="C85" s="61" t="n"/>
      <c r="D85" s="61" t="n"/>
      <c r="E85" s="61" t="n"/>
      <c r="F85" s="143" t="n"/>
    </row>
    <row r="86" ht="51" customHeight="1" s="3">
      <c r="A86" s="97" t="inlineStr">
        <is>
          <t>方向：Device → App（FFE2 Notify）｜传输：简单包｜用途：设备进入睡眠模式｜无 payload；App 收到后回发一帧 0x16 Screensaver（v2.6.0 修正）；明文（secure 模式经 0x7E 封装）</t>
        </is>
      </c>
      <c r="B86" s="61" t="n"/>
      <c r="C86" s="61" t="n"/>
      <c r="D86" s="61" t="n"/>
      <c r="E86" s="61" t="n"/>
      <c r="F86" s="143" t="n"/>
    </row>
    <row r="87" ht="21.95" customHeight="1" s="3">
      <c r="A87" s="25" t="inlineStr">
        <is>
          <t>偏移(字节)</t>
        </is>
      </c>
      <c r="B87" s="25" t="inlineStr">
        <is>
          <t>字段</t>
        </is>
      </c>
      <c r="C87" s="25" t="inlineStr">
        <is>
          <t>大小(字节)</t>
        </is>
      </c>
      <c r="D87" s="25" t="inlineStr">
        <is>
          <t>上限(字节)</t>
        </is>
      </c>
      <c r="E87" s="25" t="inlineStr">
        <is>
          <t>取值/枚举</t>
        </is>
      </c>
      <c r="F87" s="25" t="inlineStr">
        <is>
          <t>说明</t>
        </is>
      </c>
    </row>
    <row r="88" ht="29.1" customHeight="1" s="3">
      <c r="A88" s="26" t="inlineStr">
        <is>
          <t>—</t>
        </is>
      </c>
      <c r="B88" s="26" t="inlineStr">
        <is>
          <t>（无字段）</t>
        </is>
      </c>
      <c r="C88" s="26" t="n">
        <v>0</v>
      </c>
      <c r="D88" s="26" t="inlineStr">
        <is>
          <t>-</t>
        </is>
      </c>
      <c r="E88" s="26" t="inlineStr">
        <is>
          <t>Length = 0</t>
        </is>
      </c>
      <c r="F88" s="26" t="inlineStr">
        <is>
          <t>完整事件帧 = Type(1B) + Length(1B) = 2 字节</t>
        </is>
      </c>
    </row>
    <row r="89" ht="29.1" customHeight="1" s="3">
      <c r="A89" s="98" t="inlineStr">
        <is>
          <t>Payload 总长（字节）</t>
        </is>
      </c>
      <c r="B89" s="143" t="n"/>
      <c r="C89" s="32">
        <f>SUM(C88:C88)</f>
        <v/>
      </c>
      <c r="D89" s="99" t="inlineStr">
        <is>
          <t>固定长度（字段均为定长字节）</t>
        </is>
      </c>
      <c r="E89" s="61" t="n"/>
      <c r="F89" s="143" t="n"/>
    </row>
    <row r="90" ht="29.1" customHeight="1" s="3">
      <c r="A90" s="98" t="inlineStr">
        <is>
          <t>完整帧长（字节）</t>
        </is>
      </c>
      <c r="B90" s="143" t="n"/>
      <c r="C90" s="32">
        <f>2+C89</f>
        <v/>
      </c>
      <c r="D90" s="99" t="inlineStr">
        <is>
          <t>简单事件包：Type(1B) + Length(1B) + Payload</t>
        </is>
      </c>
      <c r="E90" s="61" t="n"/>
      <c r="F90" s="143" t="n"/>
    </row>
    <row r="91"/>
    <row r="92" ht="24" customHeight="1" s="3">
      <c r="A92" s="96" t="inlineStr">
        <is>
          <t>§5.14  LowBattery（0x40）</t>
        </is>
      </c>
      <c r="B92" s="61" t="n"/>
      <c r="C92" s="61" t="n"/>
      <c r="D92" s="61" t="n"/>
      <c r="E92" s="61" t="n"/>
      <c r="F92" s="143" t="n"/>
    </row>
    <row r="93" ht="36" customHeight="1" s="3">
      <c r="A93" s="97" t="inlineStr">
        <is>
          <t>方向：Device → App（FFE2 Notify）｜传输：简单包｜用途：设备电量低通知；明文（secure 模式经 0x7E 封装）</t>
        </is>
      </c>
      <c r="B93" s="61" t="n"/>
      <c r="C93" s="61" t="n"/>
      <c r="D93" s="61" t="n"/>
      <c r="E93" s="61" t="n"/>
      <c r="F93" s="143" t="n"/>
    </row>
    <row r="94" ht="21.95" customHeight="1" s="3">
      <c r="A94" s="25" t="inlineStr">
        <is>
          <t>偏移(字节)</t>
        </is>
      </c>
      <c r="B94" s="25" t="inlineStr">
        <is>
          <t>字段</t>
        </is>
      </c>
      <c r="C94" s="25" t="inlineStr">
        <is>
          <t>大小(字节)</t>
        </is>
      </c>
      <c r="D94" s="25" t="inlineStr">
        <is>
          <t>上限(字节)</t>
        </is>
      </c>
      <c r="E94" s="25" t="inlineStr">
        <is>
          <t>取值/枚举</t>
        </is>
      </c>
      <c r="F94" s="25" t="inlineStr">
        <is>
          <t>说明</t>
        </is>
      </c>
    </row>
    <row r="95" ht="29.1" customHeight="1" s="3">
      <c r="A95" s="26" t="n">
        <v>0</v>
      </c>
      <c r="B95" s="26" t="inlineStr">
        <is>
          <t>BatteryLevel</t>
        </is>
      </c>
      <c r="C95" s="26" t="n">
        <v>1</v>
      </c>
      <c r="D95" s="26" t="inlineStr">
        <is>
          <t>-</t>
        </is>
      </c>
      <c r="E95" s="26" t="inlineStr">
        <is>
          <t>clamp 0–100</t>
        </is>
      </c>
      <c r="F95" s="26" t="inlineStr">
        <is>
          <t>电量百分比；App 更新显示并推送低电量本地通知</t>
        </is>
      </c>
    </row>
    <row r="96" ht="29.1" customHeight="1" s="3">
      <c r="A96" s="98" t="inlineStr">
        <is>
          <t>Payload 总长（字节）</t>
        </is>
      </c>
      <c r="B96" s="143" t="n"/>
      <c r="C96" s="32">
        <f>SUM(C95:C95)</f>
        <v/>
      </c>
      <c r="D96" s="99" t="inlineStr">
        <is>
          <t>固定长度（字段均为定长字节）</t>
        </is>
      </c>
      <c r="E96" s="61" t="n"/>
      <c r="F96" s="143" t="n"/>
    </row>
    <row r="97" ht="29.1" customHeight="1" s="3">
      <c r="A97" s="98" t="inlineStr">
        <is>
          <t>完整帧长（字节）</t>
        </is>
      </c>
      <c r="B97" s="143" t="n"/>
      <c r="C97" s="32">
        <f>2+C96</f>
        <v/>
      </c>
      <c r="D97" s="99" t="inlineStr">
        <is>
          <t>简单事件包：Type(1B) + Length(1B) + Payload</t>
        </is>
      </c>
      <c r="E97" s="61" t="n"/>
      <c r="F97" s="143" t="n"/>
    </row>
    <row r="98"/>
    <row r="99" ht="51" customHeight="1" s="3">
      <c r="A99" s="104" t="inlineStr">
        <is>
          <t>约定：大小以字节（Byte）为单位；「1+N」= 1 字节长度前缀 + N 字节内容；「…」表示偏移随前面的变长字段累积；多字节整数一律 Big Endian。来源：Kirole BLE 通信协议规格文档 2.10.1。</t>
        </is>
      </c>
      <c r="B99" s="61" t="n"/>
      <c r="C99" s="61" t="n"/>
      <c r="D99" s="61" t="n"/>
      <c r="E99" s="61" t="n"/>
      <c r="F99" s="143" t="n"/>
    </row>
  </sheetData>
  <mergeCells count="69">
    <mergeCell ref="A41:F41"/>
    <mergeCell ref="A16:F16"/>
    <mergeCell ref="A30:B30"/>
    <mergeCell ref="A99:F99"/>
    <mergeCell ref="D13:F13"/>
    <mergeCell ref="A82:B82"/>
    <mergeCell ref="A60:B60"/>
    <mergeCell ref="D61:F61"/>
    <mergeCell ref="D97:F97"/>
    <mergeCell ref="A56:F56"/>
    <mergeCell ref="A50:F50"/>
    <mergeCell ref="A26:F26"/>
    <mergeCell ref="D53:F53"/>
    <mergeCell ref="D47:F47"/>
    <mergeCell ref="A61:B61"/>
    <mergeCell ref="A86:F86"/>
    <mergeCell ref="A69:B69"/>
    <mergeCell ref="A57:F57"/>
    <mergeCell ref="A71:F71"/>
    <mergeCell ref="A33:F33"/>
    <mergeCell ref="A2:F2"/>
    <mergeCell ref="A85:F85"/>
    <mergeCell ref="A54:B54"/>
    <mergeCell ref="A42:F42"/>
    <mergeCell ref="A90:B90"/>
    <mergeCell ref="A5:F5"/>
    <mergeCell ref="A46:B46"/>
    <mergeCell ref="A89:B89"/>
    <mergeCell ref="A17:F17"/>
    <mergeCell ref="A4:F4"/>
    <mergeCell ref="D68:F68"/>
    <mergeCell ref="D83:F83"/>
    <mergeCell ref="D39:F39"/>
    <mergeCell ref="A72:F72"/>
    <mergeCell ref="D30:F30"/>
    <mergeCell ref="D82:F82"/>
    <mergeCell ref="A63:F63"/>
    <mergeCell ref="D89:F89"/>
    <mergeCell ref="D38:F38"/>
    <mergeCell ref="D14:F14"/>
    <mergeCell ref="A93:F93"/>
    <mergeCell ref="D23:F23"/>
    <mergeCell ref="A47:B47"/>
    <mergeCell ref="D54:F54"/>
    <mergeCell ref="A14:B14"/>
    <mergeCell ref="A34:F34"/>
    <mergeCell ref="D60:F60"/>
    <mergeCell ref="A23:B23"/>
    <mergeCell ref="A92:F92"/>
    <mergeCell ref="D69:F69"/>
    <mergeCell ref="A64:F64"/>
    <mergeCell ref="A97:B97"/>
    <mergeCell ref="A53:B53"/>
    <mergeCell ref="A22:B22"/>
    <mergeCell ref="A49:F49"/>
    <mergeCell ref="A96:B96"/>
    <mergeCell ref="A38:B38"/>
    <mergeCell ref="D90:F90"/>
    <mergeCell ref="A68:B68"/>
    <mergeCell ref="D46:F46"/>
    <mergeCell ref="D31:F31"/>
    <mergeCell ref="D22:F22"/>
    <mergeCell ref="A1:F1"/>
    <mergeCell ref="A13:B13"/>
    <mergeCell ref="A83:B83"/>
    <mergeCell ref="D96:F96"/>
    <mergeCell ref="A31:B31"/>
    <mergeCell ref="A39:B3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"/>
  <sheetViews>
    <sheetView topLeftCell="A2" workbookViewId="0">
      <selection activeCell="H12" sqref="A1:XFD1048576"/>
    </sheetView>
  </sheetViews>
  <sheetFormatPr baseColWidth="8" defaultRowHeight="14.25"/>
  <cols>
    <col width="10" customWidth="1" style="24" min="1" max="1"/>
    <col width="26" customWidth="1" style="24" min="2" max="2"/>
    <col width="19.5" customWidth="1" style="24" min="3" max="3"/>
    <col width="13" customWidth="1" style="24" min="4" max="4"/>
    <col width="34" customWidth="1" style="24" min="5" max="5"/>
    <col width="72" customWidth="1" style="24" min="6" max="6"/>
    <col width="9" customWidth="1" style="24" min="7" max="16384"/>
  </cols>
  <sheetData>
    <row r="1" ht="33.95" customHeight="1" s="3">
      <c r="A1" s="71" t="inlineStr">
        <is>
          <t>Device → App 事件详解（二）：任务动作与应答</t>
        </is>
      </c>
      <c r="B1" s="61" t="n"/>
      <c r="C1" s="61" t="n"/>
      <c r="D1" s="61" t="n"/>
      <c r="E1" s="61" t="n"/>
      <c r="F1" s="143" t="n"/>
    </row>
    <row r="2" ht="21.95" customHeight="1" s="3">
      <c r="A2" s="95" t="inlineStr">
        <is>
          <t>单位：字节（Byte）；1+N = 1 字节长度前缀 + N 字节内容；简单事件包帧长 = 2 + Payload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100" t="inlineStr">
        <is>
          <t>§5.4  CompleteTask（0x11，SubVersion 0x02）</t>
        </is>
      </c>
      <c r="B4" s="61" t="n"/>
      <c r="C4" s="61" t="n"/>
      <c r="D4" s="61" t="n"/>
      <c r="E4" s="61" t="n"/>
      <c r="F4" s="143" t="n"/>
    </row>
    <row r="5" ht="51" customHeight="1" s="3">
      <c r="A5" s="101" t="inlineStr">
        <is>
          <t>方向：Device → App（FFE2 Notify）｜用途：完成任务并结束专注会话；断连时设备立即退出并排队，不等待 ACK；详见「专注重连-1.2」页</t>
        </is>
      </c>
      <c r="B5" s="61" t="n"/>
      <c r="C5" s="61" t="n"/>
      <c r="D5" s="61" t="n"/>
      <c r="E5" s="61" t="n"/>
      <c r="F5" s="143" t="n"/>
    </row>
    <row r="6" ht="21.95" customHeight="1" s="3">
      <c r="A6" s="28" t="inlineStr">
        <is>
          <t>偏移(字节)</t>
        </is>
      </c>
      <c r="B6" s="28" t="inlineStr">
        <is>
          <t>字段</t>
        </is>
      </c>
      <c r="C6" s="28" t="inlineStr">
        <is>
          <t>大小(字节)</t>
        </is>
      </c>
      <c r="D6" s="28" t="inlineStr">
        <is>
          <t>上限(字节)</t>
        </is>
      </c>
      <c r="E6" s="28" t="inlineStr">
        <is>
          <t>取值/枚举</t>
        </is>
      </c>
      <c r="F6" s="28" t="inlineStr">
        <is>
          <t>说明</t>
        </is>
      </c>
    </row>
    <row r="7" ht="29.1" customHeight="1" s="3">
      <c r="A7" s="29" t="inlineStr">
        <is>
          <t>0..12</t>
        </is>
      </c>
      <c r="B7" s="29" t="inlineStr">
        <is>
          <t>SessionHeader</t>
        </is>
      </c>
      <c r="C7" s="29" t="inlineStr">
        <is>
          <t>13</t>
        </is>
      </c>
      <c r="D7" s="29" t="inlineStr">
        <is>
          <t>-</t>
        </is>
      </c>
      <c r="E7" s="29" t="inlineStr">
        <is>
          <t>SubVersion(1)+OperationID(4)+FocusSessionId(8)</t>
        </is>
      </c>
      <c r="F7" s="29" t="inlineStr">
        <is>
          <t>OperationID 非零；事件类型隐含结束原因</t>
        </is>
      </c>
    </row>
    <row r="8" ht="29.1" customHeight="1" s="3">
      <c r="A8" s="30" t="inlineStr">
        <is>
          <t>13</t>
        </is>
      </c>
      <c r="B8" s="30" t="inlineStr">
        <is>
          <t>TaskIdLength</t>
        </is>
      </c>
      <c r="C8" s="30" t="inlineStr">
        <is>
          <t>1</t>
        </is>
      </c>
      <c r="D8" s="30" t="inlineStr">
        <is>
          <t>-</t>
        </is>
      </c>
      <c r="E8" s="30" t="inlineStr">
        <is>
          <t>0–36</t>
        </is>
      </c>
      <c r="F8" s="30" t="inlineStr">
        <is>
          <t>TaskId UTF-8 字节数</t>
        </is>
      </c>
    </row>
    <row r="9" ht="29.1" customHeight="1" s="3">
      <c r="A9" s="29" t="inlineStr">
        <is>
          <t>14</t>
        </is>
      </c>
      <c r="B9" s="29" t="inlineStr">
        <is>
          <t>TaskId</t>
        </is>
      </c>
      <c r="C9" s="29" t="inlineStr">
        <is>
          <t>N</t>
        </is>
      </c>
      <c r="D9" s="29" t="inlineStr">
        <is>
          <t>36</t>
        </is>
      </c>
      <c r="E9" s="29" t="inlineStr">
        <is>
          <t>UTF-8</t>
        </is>
      </c>
      <c r="F9" s="29" t="inlineStr">
        <is>
          <t>与专注会话绑定的任务 ID</t>
        </is>
      </c>
    </row>
    <row r="10" ht="29.1" customHeight="1" s="3">
      <c r="A10" s="30" t="inlineStr">
        <is>
          <t>14+N..17+N</t>
        </is>
      </c>
      <c r="B10" s="30" t="inlineStr">
        <is>
          <t>EndTimestamp</t>
        </is>
      </c>
      <c r="C10" s="30" t="inlineStr">
        <is>
          <t>4</t>
        </is>
      </c>
      <c r="D10" s="30" t="inlineStr">
        <is>
          <t>-</t>
        </is>
      </c>
      <c r="E10" s="30" t="inlineStr">
        <is>
          <t>UInt32 BE</t>
        </is>
      </c>
      <c r="F10" s="30" t="inlineStr">
        <is>
          <t>本地按键实际结束时间</t>
        </is>
      </c>
    </row>
    <row r="11" ht="29.1" customHeight="1" s="3">
      <c r="A11" s="29" t="inlineStr">
        <is>
          <t>18+N..21+N</t>
        </is>
      </c>
      <c r="B11" s="29" t="inlineStr">
        <is>
          <t>ElapsedSeconds</t>
        </is>
      </c>
      <c r="C11" s="29" t="inlineStr">
        <is>
          <t>4</t>
        </is>
      </c>
      <c r="D11" s="29" t="inlineStr">
        <is>
          <t>-</t>
        </is>
      </c>
      <c r="E11" s="29" t="inlineStr">
        <is>
          <t>UInt32 BE</t>
        </is>
      </c>
      <c r="F11" s="29" t="inlineStr">
        <is>
          <t>本会话设备累计秒数，用于重连校准</t>
        </is>
      </c>
    </row>
    <row r="12" ht="29.1" customHeight="1" s="3">
      <c r="A12" s="102" t="inlineStr">
        <is>
          <t>Payload 总长（字节）</t>
        </is>
      </c>
      <c r="B12" s="143" t="n"/>
      <c r="C12" s="32" t="inlineStr">
        <is>
          <t>22+N</t>
        </is>
      </c>
      <c r="D12" s="103" t="inlineStr">
        <is>
          <t>SubVersion(1)+OperationID(4)+FocusSessionId(8)+TaskId(1+N)+EndTimestamp(4)+ElapsedSeconds(4)</t>
        </is>
      </c>
      <c r="E12" s="61" t="n"/>
      <c r="F12" s="143" t="n"/>
    </row>
    <row r="13" ht="29.1" customHeight="1" s="3">
      <c r="A13" s="102" t="inlineStr">
        <is>
          <t>完整帧长（字节）</t>
        </is>
      </c>
      <c r="B13" s="143" t="n"/>
      <c r="C13" s="32" t="inlineStr">
        <is>
          <t>2 + Payload（变长）</t>
        </is>
      </c>
      <c r="D13" s="103" t="inlineStr">
        <is>
          <t>简单事件包：Type(1B) + Length(1B) + Payload</t>
        </is>
      </c>
      <c r="E13" s="61" t="n"/>
      <c r="F13" s="143" t="n"/>
    </row>
    <row r="14"/>
    <row r="15" ht="24" customHeight="1" s="3">
      <c r="A15" s="100" t="inlineStr">
        <is>
          <t>§5.5  SkipTask（0x12，SubVersion 0x02）</t>
        </is>
      </c>
      <c r="B15" s="61" t="n"/>
      <c r="C15" s="61" t="n"/>
      <c r="D15" s="61" t="n"/>
      <c r="E15" s="61" t="n"/>
      <c r="F15" s="143" t="n"/>
    </row>
    <row r="16" ht="51" customHeight="1" s="3">
      <c r="A16" s="101" t="inlineStr">
        <is>
          <t>方向：Device → App（FFE2 Notify）｜用途：跳过任务并结束专注会话；断连时设备立即退出并排队，不等待 ACK；详见「专注重连-1.2」页</t>
        </is>
      </c>
      <c r="B16" s="61" t="n"/>
      <c r="C16" s="61" t="n"/>
      <c r="D16" s="61" t="n"/>
      <c r="E16" s="61" t="n"/>
      <c r="F16" s="143" t="n"/>
    </row>
    <row r="17" ht="21.95" customHeight="1" s="3">
      <c r="A17" s="28" t="inlineStr">
        <is>
          <t>偏移(字节)</t>
        </is>
      </c>
      <c r="B17" s="28" t="inlineStr">
        <is>
          <t>字段</t>
        </is>
      </c>
      <c r="C17" s="28" t="inlineStr">
        <is>
          <t>大小(字节)</t>
        </is>
      </c>
      <c r="D17" s="28" t="inlineStr">
        <is>
          <t>上限(字节)</t>
        </is>
      </c>
      <c r="E17" s="28" t="inlineStr">
        <is>
          <t>取值/枚举</t>
        </is>
      </c>
      <c r="F17" s="28" t="inlineStr">
        <is>
          <t>说明</t>
        </is>
      </c>
    </row>
    <row r="18" ht="29.1" customHeight="1" s="3">
      <c r="A18" s="29" t="inlineStr">
        <is>
          <t>0..12</t>
        </is>
      </c>
      <c r="B18" s="29" t="inlineStr">
        <is>
          <t>SessionHeader</t>
        </is>
      </c>
      <c r="C18" s="29" t="inlineStr">
        <is>
          <t>13</t>
        </is>
      </c>
      <c r="D18" s="29" t="inlineStr">
        <is>
          <t>-</t>
        </is>
      </c>
      <c r="E18" s="29" t="inlineStr">
        <is>
          <t>SubVersion(1)+OperationID(4)+FocusSessionId(8)</t>
        </is>
      </c>
      <c r="F18" s="29" t="inlineStr">
        <is>
          <t>OperationID 非零；事件类型隐含结束原因</t>
        </is>
      </c>
    </row>
    <row r="19" ht="29.1" customHeight="1" s="3">
      <c r="A19" s="30" t="inlineStr">
        <is>
          <t>13</t>
        </is>
      </c>
      <c r="B19" s="30" t="inlineStr">
        <is>
          <t>TaskIdLength</t>
        </is>
      </c>
      <c r="C19" s="30" t="inlineStr">
        <is>
          <t>1</t>
        </is>
      </c>
      <c r="D19" s="30" t="inlineStr">
        <is>
          <t>-</t>
        </is>
      </c>
      <c r="E19" s="30" t="inlineStr">
        <is>
          <t>0–36</t>
        </is>
      </c>
      <c r="F19" s="30" t="inlineStr">
        <is>
          <t>TaskId UTF-8 字节数</t>
        </is>
      </c>
    </row>
    <row r="20" ht="29.1" customHeight="1" s="3">
      <c r="A20" s="29" t="inlineStr">
        <is>
          <t>14</t>
        </is>
      </c>
      <c r="B20" s="29" t="inlineStr">
        <is>
          <t>TaskId</t>
        </is>
      </c>
      <c r="C20" s="29" t="inlineStr">
        <is>
          <t>N</t>
        </is>
      </c>
      <c r="D20" s="29" t="inlineStr">
        <is>
          <t>36</t>
        </is>
      </c>
      <c r="E20" s="29" t="inlineStr">
        <is>
          <t>UTF-8</t>
        </is>
      </c>
      <c r="F20" s="29" t="inlineStr">
        <is>
          <t>与专注会话绑定的任务 ID</t>
        </is>
      </c>
    </row>
    <row r="21" ht="29.1" customHeight="1" s="3">
      <c r="A21" s="30" t="inlineStr">
        <is>
          <t>14+N..17+N</t>
        </is>
      </c>
      <c r="B21" s="30" t="inlineStr">
        <is>
          <t>EndTimestamp</t>
        </is>
      </c>
      <c r="C21" s="30" t="inlineStr">
        <is>
          <t>4</t>
        </is>
      </c>
      <c r="D21" s="30" t="inlineStr">
        <is>
          <t>-</t>
        </is>
      </c>
      <c r="E21" s="30" t="inlineStr">
        <is>
          <t>UInt32 BE</t>
        </is>
      </c>
      <c r="F21" s="30" t="inlineStr">
        <is>
          <t>本地按键实际结束时间</t>
        </is>
      </c>
    </row>
    <row r="22" ht="29.1" customHeight="1" s="3">
      <c r="A22" s="29" t="inlineStr">
        <is>
          <t>18+N..21+N</t>
        </is>
      </c>
      <c r="B22" s="29" t="inlineStr">
        <is>
          <t>ElapsedSeconds</t>
        </is>
      </c>
      <c r="C22" s="29" t="inlineStr">
        <is>
          <t>4</t>
        </is>
      </c>
      <c r="D22" s="29" t="inlineStr">
        <is>
          <t>-</t>
        </is>
      </c>
      <c r="E22" s="29" t="inlineStr">
        <is>
          <t>UInt32 BE</t>
        </is>
      </c>
      <c r="F22" s="29" t="inlineStr">
        <is>
          <t>本会话设备累计秒数，用于重连校准</t>
        </is>
      </c>
    </row>
    <row r="23" ht="29.1" customHeight="1" s="3">
      <c r="A23" s="102" t="inlineStr">
        <is>
          <t>Payload 总长（字节）</t>
        </is>
      </c>
      <c r="B23" s="143" t="n"/>
      <c r="C23" s="32" t="inlineStr">
        <is>
          <t>22+N</t>
        </is>
      </c>
      <c r="D23" s="103" t="inlineStr">
        <is>
          <t>SubVersion(1)+OperationID(4)+FocusSessionId(8)+TaskId(1+N)+EndTimestamp(4)+ElapsedSeconds(4)</t>
        </is>
      </c>
      <c r="E23" s="61" t="n"/>
      <c r="F23" s="143" t="n"/>
    </row>
    <row r="24" ht="29.1" customHeight="1" s="3">
      <c r="A24" s="102" t="inlineStr">
        <is>
          <t>完整帧长（字节）</t>
        </is>
      </c>
      <c r="B24" s="143" t="n"/>
      <c r="C24" s="32" t="inlineStr">
        <is>
          <t>2 + Payload（变长）</t>
        </is>
      </c>
      <c r="D24" s="103" t="inlineStr">
        <is>
          <t>简单事件包：Type(1B) + Length(1B) + Payload</t>
        </is>
      </c>
      <c r="E24" s="61" t="n"/>
      <c r="F24" s="143" t="n"/>
    </row>
    <row r="25"/>
    <row r="26" ht="24" customHeight="1" s="3">
      <c r="A26" s="96" t="inlineStr">
        <is>
          <t>§5.17  OTAResult（0x18）</t>
        </is>
      </c>
      <c r="B26" s="61" t="n"/>
      <c r="C26" s="61" t="n"/>
      <c r="D26" s="61" t="n"/>
      <c r="E26" s="61" t="n"/>
      <c r="F26" s="143" t="n"/>
    </row>
    <row r="27" ht="36" customHeight="1" s="3">
      <c r="A27" s="97" t="inlineStr">
        <is>
          <t>方向：Device → App（FFE2 Notify）｜传输：简单包｜用途：OTAReboot(0x18) 的应答事件｜方向双义；secure 模式必须经 0x7E 封装；明文（secure 模式经 0x7E 封装）</t>
        </is>
      </c>
      <c r="B27" s="61" t="n"/>
      <c r="C27" s="61" t="n"/>
      <c r="D27" s="61" t="n"/>
      <c r="E27" s="61" t="n"/>
      <c r="F27" s="143" t="n"/>
    </row>
    <row r="28" ht="21.95" customHeight="1" s="3">
      <c r="A28" s="25" t="inlineStr">
        <is>
          <t>偏移(字节)</t>
        </is>
      </c>
      <c r="B28" s="25" t="inlineStr">
        <is>
          <t>字段</t>
        </is>
      </c>
      <c r="C28" s="25" t="inlineStr">
        <is>
          <t>大小(字节)</t>
        </is>
      </c>
      <c r="D28" s="25" t="inlineStr">
        <is>
          <t>上限(字节)</t>
        </is>
      </c>
      <c r="E28" s="25" t="inlineStr">
        <is>
          <t>取值/枚举</t>
        </is>
      </c>
      <c r="F28" s="25" t="inlineStr">
        <is>
          <t>说明</t>
        </is>
      </c>
    </row>
    <row r="29" ht="29.1" customHeight="1" s="3">
      <c r="A29" s="26" t="n">
        <v>0</v>
      </c>
      <c r="B29" s="26" t="inlineStr">
        <is>
          <t>StatusCode</t>
        </is>
      </c>
      <c r="C29" s="26" t="n">
        <v>1</v>
      </c>
      <c r="D29" s="26" t="inlineStr">
        <is>
          <t>-</t>
        </is>
      </c>
      <c r="E29" s="26" t="inlineStr">
        <is>
          <t>见枚举页</t>
        </is>
      </c>
      <c r="F29" s="26" t="inlineStr">
        <is>
          <t>0x00=OK_START_UPGRADE；0x01–0x04、0xFF 为各类错误（详见「枚举与状态码」页）</t>
        </is>
      </c>
    </row>
    <row r="30" ht="29.1" customHeight="1" s="3">
      <c r="A30" s="98" t="inlineStr">
        <is>
          <t>Payload 总长（字节）</t>
        </is>
      </c>
      <c r="B30" s="143" t="n"/>
      <c r="C30" s="32">
        <f>SUM(C29:C29)</f>
        <v/>
      </c>
      <c r="D30" s="99" t="inlineStr">
        <is>
          <t>固定长度（字段均为定长字节）</t>
        </is>
      </c>
      <c r="E30" s="61" t="n"/>
      <c r="F30" s="143" t="n"/>
    </row>
    <row r="31" ht="29.1" customHeight="1" s="3">
      <c r="A31" s="98" t="inlineStr">
        <is>
          <t>完整帧长（字节）</t>
        </is>
      </c>
      <c r="B31" s="143" t="n"/>
      <c r="C31" s="32">
        <f>2+C30</f>
        <v/>
      </c>
      <c r="D31" s="99" t="inlineStr">
        <is>
          <t>简单事件包：Type(1B) + Length(1B) + Payload</t>
        </is>
      </c>
      <c r="E31" s="61" t="n"/>
      <c r="F31" s="143" t="n"/>
    </row>
    <row r="32"/>
    <row r="33" ht="24" customHeight="1" s="3">
      <c r="A33" s="96" t="inlineStr">
        <is>
          <t>§5.18  WiFiDebugResult（0x19）</t>
        </is>
      </c>
      <c r="B33" s="61" t="n"/>
      <c r="C33" s="61" t="n"/>
      <c r="D33" s="61" t="n"/>
      <c r="E33" s="61" t="n"/>
      <c r="F33" s="143" t="n"/>
    </row>
    <row r="34" ht="51" customHeight="1" s="3">
      <c r="A34" s="97" t="inlineStr">
        <is>
          <t>方向：Device → App（FFE2 Notify）｜传输：简单包｜用途：WiFiDebugMode(0x19) 的实时应答｜固定 2 字节；明文帧示例：19 02 01 00（开启成功）；明文（secure 模式经 0x7E 封装）</t>
        </is>
      </c>
      <c r="B34" s="61" t="n"/>
      <c r="C34" s="61" t="n"/>
      <c r="D34" s="61" t="n"/>
      <c r="E34" s="61" t="n"/>
      <c r="F34" s="143" t="n"/>
    </row>
    <row r="35" ht="21.95" customHeight="1" s="3">
      <c r="A35" s="25" t="inlineStr">
        <is>
          <t>偏移(字节)</t>
        </is>
      </c>
      <c r="B35" s="25" t="inlineStr">
        <is>
          <t>字段</t>
        </is>
      </c>
      <c r="C35" s="25" t="inlineStr">
        <is>
          <t>大小(字节)</t>
        </is>
      </c>
      <c r="D35" s="25" t="inlineStr">
        <is>
          <t>上限(字节)</t>
        </is>
      </c>
      <c r="E35" s="25" t="inlineStr">
        <is>
          <t>取值/枚举</t>
        </is>
      </c>
      <c r="F35" s="25" t="inlineStr">
        <is>
          <t>说明</t>
        </is>
      </c>
    </row>
    <row r="36" ht="29.1" customHeight="1" s="3">
      <c r="A36" s="26" t="n">
        <v>0</v>
      </c>
      <c r="B36" s="26" t="inlineStr">
        <is>
          <t>Enabled</t>
        </is>
      </c>
      <c r="C36" s="26" t="n">
        <v>1</v>
      </c>
      <c r="D36" s="26" t="inlineStr">
        <is>
          <t>-</t>
        </is>
      </c>
      <c r="E36" s="26" t="inlineStr">
        <is>
          <t>0x00 / 0x01</t>
        </is>
      </c>
      <c r="F36" s="26" t="inlineStr">
        <is>
          <t>当前实际状态（不是请求目标值）；其他值非法</t>
        </is>
      </c>
    </row>
    <row r="37" ht="29.1" customHeight="1" s="3">
      <c r="A37" s="27" t="n">
        <v>1</v>
      </c>
      <c r="B37" s="27" t="inlineStr">
        <is>
          <t>StatusCode</t>
        </is>
      </c>
      <c r="C37" s="27" t="n">
        <v>1</v>
      </c>
      <c r="D37" s="27" t="inlineStr">
        <is>
          <t>-</t>
        </is>
      </c>
      <c r="E37" s="27" t="inlineStr">
        <is>
          <t>见枚举页</t>
        </is>
      </c>
      <c r="F37" s="27" t="inlineStr">
        <is>
          <t>0x00=OK，0x01–0x04、0xFF 为错误（详见枚举页）</t>
        </is>
      </c>
    </row>
    <row r="38" ht="29.1" customHeight="1" s="3">
      <c r="A38" s="98" t="inlineStr">
        <is>
          <t>Payload 总长（字节）</t>
        </is>
      </c>
      <c r="B38" s="143" t="n"/>
      <c r="C38" s="32">
        <f>SUM(C36:C37)</f>
        <v/>
      </c>
      <c r="D38" s="99" t="inlineStr">
        <is>
          <t>固定长度（字段均为定长字节）</t>
        </is>
      </c>
      <c r="E38" s="61" t="n"/>
      <c r="F38" s="143" t="n"/>
    </row>
    <row r="39" ht="29.1" customHeight="1" s="3">
      <c r="A39" s="98" t="inlineStr">
        <is>
          <t>完整帧长（字节）</t>
        </is>
      </c>
      <c r="B39" s="143" t="n"/>
      <c r="C39" s="32">
        <f>2+C38</f>
        <v/>
      </c>
      <c r="D39" s="99" t="inlineStr">
        <is>
          <t>简单事件包：Type(1B) + Length(1B) + Payload</t>
        </is>
      </c>
      <c r="E39" s="61" t="n"/>
      <c r="F39" s="143" t="n"/>
    </row>
    <row r="40"/>
    <row r="41" ht="24" customHeight="1" s="3">
      <c r="A41" s="96" t="inlineStr">
        <is>
          <t>§5.20  WiFiAvatarSessionResult（0x1A）</t>
        </is>
      </c>
      <c r="B41" s="61" t="n"/>
      <c r="C41" s="61" t="n"/>
      <c r="D41" s="61" t="n"/>
      <c r="E41" s="61" t="n"/>
      <c r="F41" s="143" t="n"/>
    </row>
    <row r="42" ht="51" customHeight="1" s="3">
      <c r="A42" s="97" t="inlineStr">
        <is>
          <t>方向：Device → App（FFE2 Notify）｜传输：简单包｜用途：WiFiAvatarSession(0x1A) 的实时应答｜open 成功时携带一次性热点凭据 + HTTP 收图端点；明文（secure 模式经 0x7E 封装）</t>
        </is>
      </c>
      <c r="B42" s="61" t="n"/>
      <c r="C42" s="61" t="n"/>
      <c r="D42" s="61" t="n"/>
      <c r="E42" s="61" t="n"/>
      <c r="F42" s="143" t="n"/>
    </row>
    <row r="43" ht="21.95" customHeight="1" s="3">
      <c r="A43" s="25" t="inlineStr">
        <is>
          <t>偏移(字节)</t>
        </is>
      </c>
      <c r="B43" s="25" t="inlineStr">
        <is>
          <t>字段</t>
        </is>
      </c>
      <c r="C43" s="25" t="inlineStr">
        <is>
          <t>大小(字节)</t>
        </is>
      </c>
      <c r="D43" s="25" t="inlineStr">
        <is>
          <t>上限(字节)</t>
        </is>
      </c>
      <c r="E43" s="25" t="inlineStr">
        <is>
          <t>取值/枚举</t>
        </is>
      </c>
      <c r="F43" s="25" t="inlineStr">
        <is>
          <t>说明</t>
        </is>
      </c>
    </row>
    <row r="44" ht="29.1" customHeight="1" s="3">
      <c r="A44" s="26" t="n">
        <v>0</v>
      </c>
      <c r="B44" s="26" t="inlineStr">
        <is>
          <t>Command</t>
        </is>
      </c>
      <c r="C44" s="26" t="n">
        <v>1</v>
      </c>
      <c r="D44" s="26" t="inlineStr">
        <is>
          <t>-</t>
        </is>
      </c>
      <c r="E44" s="26" t="inlineStr">
        <is>
          <t>0x00 / 0x01 / 0x02</t>
        </is>
      </c>
      <c r="F44" s="26" t="inlineStr">
        <is>
          <t>原样回显 open/close/query</t>
        </is>
      </c>
    </row>
    <row r="45" ht="29.1" customHeight="1" s="3">
      <c r="A45" s="27" t="n">
        <v>1</v>
      </c>
      <c r="B45" s="27" t="inlineStr">
        <is>
          <t>OperationID</t>
        </is>
      </c>
      <c r="C45" s="27" t="n">
        <v>4</v>
      </c>
      <c r="D45" s="27" t="inlineStr">
        <is>
          <t>-</t>
        </is>
      </c>
      <c r="E45" s="27" t="inlineStr">
        <is>
          <t>UInt32 BE</t>
        </is>
      </c>
      <c r="F45" s="27" t="inlineStr">
        <is>
          <t>原样回显请求中的 OperationID</t>
        </is>
      </c>
    </row>
    <row r="46" ht="29.1" customHeight="1" s="3">
      <c r="A46" s="26" t="n">
        <v>5</v>
      </c>
      <c r="B46" s="26" t="inlineStr">
        <is>
          <t>Status</t>
        </is>
      </c>
      <c r="C46" s="26" t="n">
        <v>1</v>
      </c>
      <c r="D46" s="26" t="inlineStr">
        <is>
          <t>-</t>
        </is>
      </c>
      <c r="E46" s="26" t="inlineStr">
        <is>
          <t>见枚举页</t>
        </is>
      </c>
      <c r="F46" s="26" t="inlineStr">
        <is>
          <t>本次命令处理结果（同 WiFiDebugResult 状态码）</t>
        </is>
      </c>
    </row>
    <row r="47" ht="29.1" customHeight="1" s="3">
      <c r="A47" s="27" t="n">
        <v>6</v>
      </c>
      <c r="B47" s="27" t="inlineStr">
        <is>
          <t>SSID</t>
        </is>
      </c>
      <c r="C47" s="27" t="inlineStr">
        <is>
          <t>1+N1</t>
        </is>
      </c>
      <c r="D47" s="27" t="n">
        <v>32</v>
      </c>
      <c r="E47" s="27" t="inlineStr">
        <is>
          <t>UTF-8</t>
        </is>
      </c>
      <c r="F47" s="27" t="inlineStr">
        <is>
          <t>SoftAP 名称；非 open 成功时 N1=0</t>
        </is>
      </c>
    </row>
    <row r="48" ht="29.1" customHeight="1" s="3">
      <c r="A48" s="26" t="inlineStr">
        <is>
          <t>...</t>
        </is>
      </c>
      <c r="B48" s="26" t="inlineStr">
        <is>
          <t>Passphrase</t>
        </is>
      </c>
      <c r="C48" s="26" t="inlineStr">
        <is>
          <t>1+N2</t>
        </is>
      </c>
      <c r="D48" s="26" t="n">
        <v>63</v>
      </c>
      <c r="E48" s="26" t="inlineStr">
        <is>
          <t>UTF-8</t>
        </is>
      </c>
      <c r="F48" s="26" t="inlineStr">
        <is>
          <t>SoftAP 密码（WPA2）；0 表示开放网络；非 open 成功时 N2=0</t>
        </is>
      </c>
    </row>
    <row r="49" ht="29.1" customHeight="1" s="3">
      <c r="A49" s="27" t="inlineStr">
        <is>
          <t>...</t>
        </is>
      </c>
      <c r="B49" s="27" t="inlineStr">
        <is>
          <t>Gateway</t>
        </is>
      </c>
      <c r="C49" s="27" t="n">
        <v>4</v>
      </c>
      <c r="D49" s="27" t="inlineStr">
        <is>
          <t>-</t>
        </is>
      </c>
      <c r="E49" s="27" t="inlineStr">
        <is>
          <t>IPv4 大端</t>
        </is>
      </c>
      <c r="F49" s="27" t="inlineStr">
        <is>
          <t>SoftAP 网关，通常 C0 A8 04 01 = 192.168.4.1；非 open 成功时填 0</t>
        </is>
      </c>
    </row>
    <row r="50" ht="29.1" customHeight="1" s="3">
      <c r="A50" s="26" t="inlineStr">
        <is>
          <t>...</t>
        </is>
      </c>
      <c r="B50" s="26" t="inlineStr">
        <is>
          <t>Port</t>
        </is>
      </c>
      <c r="C50" s="26" t="n">
        <v>2</v>
      </c>
      <c r="D50" s="26" t="inlineStr">
        <is>
          <t>-</t>
        </is>
      </c>
      <c r="E50" s="26" t="inlineStr">
        <is>
          <t>UInt16 BE</t>
        </is>
      </c>
      <c r="F50" s="26" t="inlineStr">
        <is>
          <t>HTTP 收图端点端口（如 80/8080）；非 open 成功时填 0</t>
        </is>
      </c>
    </row>
    <row r="51" ht="29.1" customHeight="1" s="3">
      <c r="A51" s="27" t="inlineStr">
        <is>
          <t>...</t>
        </is>
      </c>
      <c r="B51" s="27" t="inlineStr">
        <is>
          <t>Path</t>
        </is>
      </c>
      <c r="C51" s="27" t="inlineStr">
        <is>
          <t>1+N3</t>
        </is>
      </c>
      <c r="D51" s="27" t="n">
        <v>32</v>
      </c>
      <c r="E51" s="27" t="inlineStr">
        <is>
          <t>UTF-8</t>
        </is>
      </c>
      <c r="F51" s="27" t="inlineStr">
        <is>
          <t>HTTP 收图端点路径（如 /avatar）；非 open 成功时 N3=0</t>
        </is>
      </c>
    </row>
    <row r="52" ht="29.1" customHeight="1" s="3">
      <c r="A52" s="26" t="inlineStr">
        <is>
          <t>...</t>
        </is>
      </c>
      <c r="B52" s="26" t="inlineStr">
        <is>
          <t>Token</t>
        </is>
      </c>
      <c r="C52" s="26" t="inlineStr">
        <is>
          <t>1+N4</t>
        </is>
      </c>
      <c r="D52" s="26" t="n">
        <v>64</v>
      </c>
      <c r="E52" s="26" t="inlineStr">
        <is>
          <t>UTF-8</t>
        </is>
      </c>
      <c r="F52" s="26" t="inlineStr">
        <is>
          <t>会话一次性 Bearer token（绑 OperationID）；非 open 成功时 N4=0</t>
        </is>
      </c>
    </row>
    <row r="53" ht="29.1" customHeight="1" s="3">
      <c r="A53" s="27" t="inlineStr">
        <is>
          <t>...</t>
        </is>
      </c>
      <c r="B53" s="27" t="inlineStr">
        <is>
          <t>TTL</t>
        </is>
      </c>
      <c r="C53" s="27" t="n">
        <v>2</v>
      </c>
      <c r="D53" s="27" t="inlineStr">
        <is>
          <t>-</t>
        </is>
      </c>
      <c r="E53" s="27" t="inlineStr">
        <is>
          <t>UInt16 BE</t>
        </is>
      </c>
      <c r="F53" s="27" t="inlineStr">
        <is>
          <t>SoftAP 等待上传存活秒数（如 120）；到期自动关闭会话</t>
        </is>
      </c>
    </row>
    <row r="54" ht="29.1" customHeight="1" s="3">
      <c r="A54" s="98" t="inlineStr">
        <is>
          <t>Payload 总长（字节）</t>
        </is>
      </c>
      <c r="B54" s="143" t="n"/>
      <c r="C54" s="32" t="inlineStr">
        <is>
          <t>变长</t>
        </is>
      </c>
      <c r="D54" s="99" t="inlineStr">
        <is>
          <t>变长：Command(1)+OperationID(4)+Status(1)+SSID(1+N1)+Passphrase(1+N2)+Gateway(4)+Port(2)+Path(1+N3)+Token(1+N4)+TTL(2)</t>
        </is>
      </c>
      <c r="E54" s="61" t="n"/>
      <c r="F54" s="143" t="n"/>
    </row>
    <row r="55" ht="29.1" customHeight="1" s="3">
      <c r="A55" s="98" t="inlineStr">
        <is>
          <t>完整帧长（字节）</t>
        </is>
      </c>
      <c r="B55" s="143" t="n"/>
      <c r="C55" s="32" t="inlineStr">
        <is>
          <t>2 + Payload（变长）</t>
        </is>
      </c>
      <c r="D55" s="99" t="inlineStr">
        <is>
          <t>简单事件包：Type(1B) + Length(1B) + Payload</t>
        </is>
      </c>
      <c r="E55" s="61" t="n"/>
      <c r="F55" s="143" t="n"/>
    </row>
    <row r="56"/>
    <row r="57" ht="24" customHeight="1" s="3">
      <c r="A57" s="96" t="inlineStr">
        <is>
          <t>§5.15  EventLogBatch（0x21）</t>
        </is>
      </c>
      <c r="B57" s="61" t="n"/>
      <c r="C57" s="61" t="n"/>
      <c r="D57" s="61" t="n"/>
      <c r="E57" s="61" t="n"/>
      <c r="F57" s="143" t="n"/>
    </row>
    <row r="58" ht="51" customHeight="1" s="3">
      <c r="A58" s="97" t="inlineStr">
        <is>
          <t>方向：Device → App（FFE2 Notify）｜传输：简单包｜用途：批量回传事件日志（响应 0x20）｜记录格式见「子结构与记录」页；整批必须恰好解析出 Count 条；明文（secure 模式经 0x7E 封装）</t>
        </is>
      </c>
      <c r="B58" s="61" t="n"/>
      <c r="C58" s="61" t="n"/>
      <c r="D58" s="61" t="n"/>
      <c r="E58" s="61" t="n"/>
      <c r="F58" s="143" t="n"/>
    </row>
    <row r="59" ht="21.95" customHeight="1" s="3">
      <c r="A59" s="25" t="inlineStr">
        <is>
          <t>偏移(字节)</t>
        </is>
      </c>
      <c r="B59" s="25" t="inlineStr">
        <is>
          <t>字段</t>
        </is>
      </c>
      <c r="C59" s="25" t="inlineStr">
        <is>
          <t>大小(字节)</t>
        </is>
      </c>
      <c r="D59" s="25" t="inlineStr">
        <is>
          <t>上限(字节)</t>
        </is>
      </c>
      <c r="E59" s="25" t="inlineStr">
        <is>
          <t>取值/枚举</t>
        </is>
      </c>
      <c r="F59" s="25" t="inlineStr">
        <is>
          <t>说明</t>
        </is>
      </c>
    </row>
    <row r="60" ht="29.1" customHeight="1" s="3">
      <c r="A60" s="26" t="n">
        <v>0</v>
      </c>
      <c r="B60" s="26" t="inlineStr">
        <is>
          <t>Count</t>
        </is>
      </c>
      <c r="C60" s="26" t="n">
        <v>1</v>
      </c>
      <c r="D60" s="26" t="inlineStr">
        <is>
          <t>-</t>
        </is>
      </c>
      <c r="E60" s="26" t="inlineStr">
        <is>
          <t>0–255</t>
        </is>
      </c>
      <c r="F60" s="26" t="inlineStr">
        <is>
          <t>本批次记录条数</t>
        </is>
      </c>
    </row>
    <row r="61" ht="29.1" customHeight="1" s="3">
      <c r="A61" s="27" t="inlineStr">
        <is>
          <t>1+</t>
        </is>
      </c>
      <c r="B61" s="27" t="inlineStr">
        <is>
          <t>Records[]</t>
        </is>
      </c>
      <c r="C61" s="27" t="inlineStr">
        <is>
          <t>变长</t>
        </is>
      </c>
      <c r="D61" s="27" t="inlineStr">
        <is>
          <t>-</t>
        </is>
      </c>
      <c r="E61" s="27" t="inlineStr">
        <is>
          <t>见子结构页</t>
        </is>
      </c>
      <c r="F61" s="27" t="inlineStr">
        <is>
          <t>eventType(1B) + eventPayload(NB) 顺序拼接</t>
        </is>
      </c>
    </row>
    <row r="62" ht="29.1" customHeight="1" s="3">
      <c r="A62" s="98" t="inlineStr">
        <is>
          <t>Payload 总长（字节）</t>
        </is>
      </c>
      <c r="B62" s="143" t="n"/>
      <c r="C62" s="32" t="inlineStr">
        <is>
          <t>变长</t>
        </is>
      </c>
      <c r="D62" s="99" t="inlineStr">
        <is>
          <t>可变：Count(1) + Σ(1 + 各记录 payload)</t>
        </is>
      </c>
      <c r="E62" s="61" t="n"/>
      <c r="F62" s="143" t="n"/>
    </row>
    <row r="63" ht="29.1" customHeight="1" s="3">
      <c r="A63" s="98" t="inlineStr">
        <is>
          <t>完整帧长（字节）</t>
        </is>
      </c>
      <c r="B63" s="143" t="n"/>
      <c r="C63" s="32" t="inlineStr">
        <is>
          <t>2 + Payload（变长）</t>
        </is>
      </c>
      <c r="D63" s="99" t="inlineStr">
        <is>
          <t>简单事件包：Type(1B) + Length(1B) + Payload</t>
        </is>
      </c>
      <c r="E63" s="61" t="n"/>
      <c r="F63" s="143" t="n"/>
    </row>
    <row r="64"/>
    <row r="65" ht="24" customHeight="1" s="3">
      <c r="A65" s="96" t="inlineStr">
        <is>
          <t>§5.19  AvatarControlResult（0x22）</t>
        </is>
      </c>
      <c r="B65" s="61" t="n"/>
      <c r="C65" s="61" t="n"/>
      <c r="D65" s="61" t="n"/>
      <c r="E65" s="61" t="n"/>
      <c r="F65" s="143" t="n"/>
    </row>
    <row r="66" ht="36" customHeight="1" s="3">
      <c r="A66" s="97" t="inlineStr">
        <is>
          <t>方向：Device → App（FFE2 Notify）｜传输：简单包｜用途：头像事务实时结果（固定 31B）｜只走当前 Notify，不写入 EventLogBatch；明文（secure 模式经 0x7E 封装）</t>
        </is>
      </c>
      <c r="B66" s="61" t="n"/>
      <c r="C66" s="61" t="n"/>
      <c r="D66" s="61" t="n"/>
      <c r="E66" s="61" t="n"/>
      <c r="F66" s="143" t="n"/>
    </row>
    <row r="67" ht="21.95" customHeight="1" s="3">
      <c r="A67" s="25" t="inlineStr">
        <is>
          <t>偏移(字节)</t>
        </is>
      </c>
      <c r="B67" s="25" t="inlineStr">
        <is>
          <t>字段</t>
        </is>
      </c>
      <c r="C67" s="25" t="inlineStr">
        <is>
          <t>大小(字节)</t>
        </is>
      </c>
      <c r="D67" s="25" t="inlineStr">
        <is>
          <t>上限(字节)</t>
        </is>
      </c>
      <c r="E67" s="25" t="inlineStr">
        <is>
          <t>取值/枚举</t>
        </is>
      </c>
      <c r="F67" s="25" t="inlineStr">
        <is>
          <t>说明</t>
        </is>
      </c>
    </row>
    <row r="68" ht="29.1" customHeight="1" s="3">
      <c r="A68" s="26" t="n">
        <v>0</v>
      </c>
      <c r="B68" s="26" t="inlineStr">
        <is>
          <t>OperationID</t>
        </is>
      </c>
      <c r="C68" s="26" t="n">
        <v>4</v>
      </c>
      <c r="D68" s="26" t="inlineStr">
        <is>
          <t>-</t>
        </is>
      </c>
      <c r="E68" s="26" t="inlineStr">
        <is>
          <t>UInt32 BE</t>
        </is>
      </c>
      <c r="F68" s="26" t="inlineStr">
        <is>
          <t>staged 取自 0x15；命令结果原样回显该命令 OperationID</t>
        </is>
      </c>
    </row>
    <row r="69" ht="29.1" customHeight="1" s="3">
      <c r="A69" s="27" t="n">
        <v>4</v>
      </c>
      <c r="B69" s="27" t="inlineStr">
        <is>
          <t>Status</t>
        </is>
      </c>
      <c r="C69" s="27" t="n">
        <v>1</v>
      </c>
      <c r="D69" s="27" t="inlineStr">
        <is>
          <t>-</t>
        </is>
      </c>
      <c r="E69" s="27" t="inlineStr">
        <is>
          <t>0x01–0x05</t>
        </is>
      </c>
      <c r="F69" s="27" t="inlineStr">
        <is>
          <t>0x01=staged，0x02=committed，0x03=erased，0x04=state，0x05=aborted</t>
        </is>
      </c>
    </row>
    <row r="70" ht="29.1" customHeight="1" s="3">
      <c r="A70" s="26" t="n">
        <v>5</v>
      </c>
      <c r="B70" s="26" t="inlineStr">
        <is>
          <t>AvatarState</t>
        </is>
      </c>
      <c r="C70" s="26" t="n">
        <v>1</v>
      </c>
      <c r="D70" s="26" t="inlineStr">
        <is>
          <t>-</t>
        </is>
      </c>
      <c r="E70" s="26" t="inlineStr">
        <is>
          <t>0x00–0x02</t>
        </is>
      </c>
      <c r="F70" s="26" t="inlineStr">
        <is>
          <t>0x00=empty，0x01=staged，0x02=committed</t>
        </is>
      </c>
    </row>
    <row r="71" ht="29.1" customHeight="1" s="3">
      <c r="A71" s="27" t="n">
        <v>6</v>
      </c>
      <c r="B71" s="27" t="inlineStr">
        <is>
          <t>CustomActive</t>
        </is>
      </c>
      <c r="C71" s="27" t="n">
        <v>1</v>
      </c>
      <c r="D71" s="27" t="inlineStr">
        <is>
          <t>-</t>
        </is>
      </c>
      <c r="E71" s="27" t="inlineStr">
        <is>
          <t>0x00 / 0x01</t>
        </is>
      </c>
      <c r="F71" s="27" t="inlineStr">
        <is>
          <t>固件当前真实激活状态</t>
        </is>
      </c>
    </row>
    <row r="72" ht="29.1" customHeight="1" s="3">
      <c r="A72" s="26" t="n">
        <v>7</v>
      </c>
      <c r="B72" s="26" t="inlineStr">
        <is>
          <t>AvatarID</t>
        </is>
      </c>
      <c r="C72" s="26" t="n">
        <v>16</v>
      </c>
      <c r="D72" s="26" t="inlineStr">
        <is>
          <t>-</t>
        </is>
      </c>
      <c r="E72" s="26" t="inlineStr">
        <is>
          <t>16 原始字节</t>
        </is>
      </c>
      <c r="F72" s="26" t="inlineStr">
        <is>
          <t>empty 时全 16B 为 0；否则为当前 AvatarState 所指文件的 UUID</t>
        </is>
      </c>
    </row>
    <row r="73" ht="29.1" customHeight="1" s="3">
      <c r="A73" s="27" t="n">
        <v>23</v>
      </c>
      <c r="B73" s="27" t="inlineStr">
        <is>
          <t>FileLength</t>
        </is>
      </c>
      <c r="C73" s="27" t="n">
        <v>4</v>
      </c>
      <c r="D73" s="27" t="inlineStr">
        <is>
          <t>-</t>
        </is>
      </c>
      <c r="E73" s="27" t="inlineStr">
        <is>
          <t>UInt32 BE</t>
        </is>
      </c>
      <c r="F73" s="27" t="inlineStr">
        <is>
          <t>对应 staged 或 committed KRI 文件长度；empty 时为 0</t>
        </is>
      </c>
    </row>
    <row r="74" ht="29.1" customHeight="1" s="3">
      <c r="A74" s="26" t="n">
        <v>27</v>
      </c>
      <c r="B74" s="26" t="inlineStr">
        <is>
          <t>FileCRC32</t>
        </is>
      </c>
      <c r="C74" s="26" t="n">
        <v>4</v>
      </c>
      <c r="D74" s="26" t="inlineStr">
        <is>
          <t>-</t>
        </is>
      </c>
      <c r="E74" s="26" t="inlineStr">
        <is>
          <t>CRC-32/IEEE BE</t>
        </is>
      </c>
      <c r="F74" s="26" t="inlineStr">
        <is>
          <t>对应文件校验值；empty 时为 0</t>
        </is>
      </c>
    </row>
    <row r="75" ht="29.1" customHeight="1" s="3">
      <c r="A75" s="98" t="inlineStr">
        <is>
          <t>Payload 总长（字节）</t>
        </is>
      </c>
      <c r="B75" s="143" t="n"/>
      <c r="C75" s="32">
        <f>SUM(C68:C74)</f>
        <v/>
      </c>
      <c r="D75" s="99" t="inlineStr">
        <is>
          <t>固定长度（字段均为定长字节）</t>
        </is>
      </c>
      <c r="E75" s="61" t="n"/>
      <c r="F75" s="143" t="n"/>
    </row>
    <row r="76" ht="29.1" customHeight="1" s="3">
      <c r="A76" s="98" t="inlineStr">
        <is>
          <t>完整帧长（字节）</t>
        </is>
      </c>
      <c r="B76" s="143" t="n"/>
      <c r="C76" s="32">
        <f>2+C75</f>
        <v/>
      </c>
      <c r="D76" s="99" t="inlineStr">
        <is>
          <t>简单事件包：Type(1B) + Length(1B) + Payload</t>
        </is>
      </c>
      <c r="E76" s="61" t="n"/>
      <c r="F76" s="143" t="n"/>
    </row>
    <row r="77"/>
    <row r="78" ht="51" customHeight="1" s="3">
      <c r="A78" s="152" t="inlineStr">
        <is>
          <t>约定：大小以字节（Byte）为单位；「1+N」= 1 字节长度前缀 + N 字节内容；「…」表示偏移随前面的变长字段累积；多字节整数一律 Big Endian。来源：Kirole BLE 通信协议规格文档 2.10.1。</t>
        </is>
      </c>
    </row>
  </sheetData>
  <mergeCells count="45">
    <mergeCell ref="A41:F41"/>
    <mergeCell ref="A16:F16"/>
    <mergeCell ref="A24:B24"/>
    <mergeCell ref="A30:B30"/>
    <mergeCell ref="D76:F76"/>
    <mergeCell ref="D13:F13"/>
    <mergeCell ref="A66:F66"/>
    <mergeCell ref="A27:F27"/>
    <mergeCell ref="D75:F75"/>
    <mergeCell ref="A26:F26"/>
    <mergeCell ref="A57:F57"/>
    <mergeCell ref="A33:F33"/>
    <mergeCell ref="A2:F2"/>
    <mergeCell ref="A54:B54"/>
    <mergeCell ref="A42:F42"/>
    <mergeCell ref="A5:F5"/>
    <mergeCell ref="D62:F62"/>
    <mergeCell ref="A75:B75"/>
    <mergeCell ref="D12:F12"/>
    <mergeCell ref="A4:F4"/>
    <mergeCell ref="D39:F39"/>
    <mergeCell ref="D30:F30"/>
    <mergeCell ref="A55:B55"/>
    <mergeCell ref="D55:F55"/>
    <mergeCell ref="D24:F24"/>
    <mergeCell ref="A12:B12"/>
    <mergeCell ref="D38:F38"/>
    <mergeCell ref="D23:F23"/>
    <mergeCell ref="A76:B76"/>
    <mergeCell ref="D54:F54"/>
    <mergeCell ref="A58:F58"/>
    <mergeCell ref="A34:F34"/>
    <mergeCell ref="A23:B23"/>
    <mergeCell ref="A15:F15"/>
    <mergeCell ref="D63:F63"/>
    <mergeCell ref="A62:B62"/>
    <mergeCell ref="A38:B38"/>
    <mergeCell ref="D31:F31"/>
    <mergeCell ref="A63:B63"/>
    <mergeCell ref="A1:F1"/>
    <mergeCell ref="A13:B13"/>
    <mergeCell ref="A78:F78"/>
    <mergeCell ref="A31:B31"/>
    <mergeCell ref="A39:B39"/>
    <mergeCell ref="A65:F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6"/>
  <sheetViews>
    <sheetView topLeftCell="A2" workbookViewId="0">
      <selection activeCell="M20" sqref="A1:XFD1048576"/>
    </sheetView>
  </sheetViews>
  <sheetFormatPr baseColWidth="8" defaultRowHeight="14.25"/>
  <cols>
    <col width="16" customWidth="1" style="24" min="1" max="1"/>
    <col width="33.25" customWidth="1" style="24" min="2" max="2"/>
    <col width="60" customWidth="1" style="24" min="3" max="3"/>
    <col width="12" customWidth="1" style="24" min="4" max="6"/>
    <col width="9" customWidth="1" style="24" min="7" max="16384"/>
  </cols>
  <sheetData>
    <row r="1" ht="33.95" customHeight="1" s="3">
      <c r="A1" s="71" t="inlineStr">
        <is>
          <t>取值表：枚举与状态码</t>
        </is>
      </c>
      <c r="B1" s="61" t="n"/>
      <c r="C1" s="61" t="n"/>
      <c r="D1" s="61" t="n"/>
      <c r="E1" s="61" t="n"/>
      <c r="F1" s="143" t="n"/>
    </row>
    <row r="2" ht="21.95" customHeight="1" s="3">
      <c r="A2" s="95" t="inlineStr">
        <is>
          <t>供各命令字段引用 · 单位：字节（Byte）</t>
        </is>
      </c>
      <c r="B2" s="61" t="n"/>
      <c r="C2" s="61" t="n"/>
      <c r="D2" s="61" t="n"/>
      <c r="E2" s="61" t="n"/>
      <c r="F2" s="143" t="n"/>
    </row>
    <row r="3"/>
    <row r="4" ht="24" customHeight="1" s="3">
      <c r="A4" s="106" t="inlineStr">
        <is>
          <t>Mood（0x01 PetStatus / 0x13 PetMoodByte）</t>
        </is>
      </c>
      <c r="B4" s="61" t="n"/>
      <c r="C4" s="61" t="n"/>
      <c r="D4" s="61" t="n"/>
      <c r="E4" s="61" t="n"/>
      <c r="F4" s="143" t="n"/>
    </row>
    <row r="5" ht="21.95" customHeight="1" s="3">
      <c r="A5" s="25" t="inlineStr">
        <is>
          <t>值</t>
        </is>
      </c>
      <c r="B5" s="25" t="inlineStr">
        <is>
          <t>名称/说明</t>
        </is>
      </c>
      <c r="C5" s="25" t="inlineStr">
        <is>
          <t>补充说明</t>
        </is>
      </c>
      <c r="D5" s="25" t="n"/>
      <c r="E5" s="25" t="n"/>
      <c r="F5" s="25" t="n"/>
    </row>
    <row r="6" ht="29.1" customHeight="1" s="3">
      <c r="A6" s="26" t="inlineStr">
        <is>
          <t>H</t>
        </is>
      </c>
      <c r="B6" s="26" t="inlineStr">
        <is>
          <t>Happy</t>
        </is>
      </c>
      <c r="C6" s="26" t="inlineStr">
        <is>
          <t>心情首字母（ASCII）</t>
        </is>
      </c>
      <c r="D6" s="26" t="n"/>
      <c r="E6" s="26" t="n"/>
      <c r="F6" s="26" t="n"/>
    </row>
    <row r="7" ht="29.1" customHeight="1" s="3">
      <c r="A7" s="27" t="inlineStr">
        <is>
          <t>E</t>
        </is>
      </c>
      <c r="B7" s="27" t="inlineStr">
        <is>
          <t>Excited</t>
        </is>
      </c>
      <c r="C7" s="27" t="n"/>
      <c r="D7" s="27" t="n"/>
      <c r="E7" s="27" t="n"/>
      <c r="F7" s="27" t="n"/>
    </row>
    <row r="8" ht="29.1" customHeight="1" s="3">
      <c r="A8" s="26" t="inlineStr">
        <is>
          <t>F</t>
        </is>
      </c>
      <c r="B8" s="26" t="inlineStr">
        <is>
          <t>Focused</t>
        </is>
      </c>
      <c r="C8" s="26" t="n"/>
      <c r="D8" s="26" t="n"/>
      <c r="E8" s="26" t="n"/>
      <c r="F8" s="26" t="n"/>
    </row>
    <row r="9" ht="29.1" customHeight="1" s="3">
      <c r="A9" s="27" t="inlineStr">
        <is>
          <t>S</t>
        </is>
      </c>
      <c r="B9" s="27" t="inlineStr">
        <is>
          <t>Sleepy</t>
        </is>
      </c>
      <c r="C9" s="27" t="n"/>
      <c r="D9" s="27" t="n"/>
      <c r="E9" s="27" t="n"/>
      <c r="F9" s="27" t="n"/>
    </row>
    <row r="10" ht="29.1" customHeight="1" s="3">
      <c r="A10" s="26" t="inlineStr">
        <is>
          <t>M</t>
        </is>
      </c>
      <c r="B10" s="26" t="inlineStr">
        <is>
          <t>Missing You</t>
        </is>
      </c>
      <c r="C10" s="26" t="n"/>
      <c r="D10" s="26" t="n"/>
      <c r="E10" s="26" t="n"/>
      <c r="F10" s="26" t="n"/>
    </row>
    <row r="11"/>
    <row r="12" ht="24" customHeight="1" s="3">
      <c r="A12" s="106" t="inlineStr">
        <is>
          <t>CharacterId（0x01 PetStatus）</t>
        </is>
      </c>
      <c r="B12" s="61" t="n"/>
      <c r="C12" s="61" t="n"/>
      <c r="D12" s="61" t="n"/>
      <c r="E12" s="61" t="n"/>
      <c r="F12" s="143" t="n"/>
    </row>
    <row r="13" ht="21.95" customHeight="1" s="3">
      <c r="A13" s="25" t="inlineStr">
        <is>
          <t>值</t>
        </is>
      </c>
      <c r="B13" s="25" t="inlineStr">
        <is>
          <t>名称/说明</t>
        </is>
      </c>
      <c r="C13" s="25" t="inlineStr">
        <is>
          <t>补充说明</t>
        </is>
      </c>
      <c r="D13" s="25" t="n"/>
      <c r="E13" s="25" t="n"/>
      <c r="F13" s="25" t="n"/>
    </row>
    <row r="14" ht="29.1" customHeight="1" s="3">
      <c r="A14" s="26" t="inlineStr">
        <is>
          <t>joy</t>
        </is>
      </c>
      <c r="B14" s="26" t="inlineStr">
        <is>
          <t>Joy（喜乐）</t>
        </is>
      </c>
      <c r="C14" s="26" t="inlineStr">
        <is>
          <t>伴侣 IP，内置形象</t>
        </is>
      </c>
      <c r="D14" s="26" t="n"/>
      <c r="E14" s="26" t="n"/>
      <c r="F14" s="26" t="n"/>
    </row>
    <row r="15" ht="29.1" customHeight="1" s="3">
      <c r="A15" s="27" t="inlineStr">
        <is>
          <t>silas</t>
        </is>
      </c>
      <c r="B15" s="27" t="inlineStr">
        <is>
          <t>Silas（仁爱）</t>
        </is>
      </c>
      <c r="C15" s="27" t="n"/>
      <c r="D15" s="27" t="n"/>
      <c r="E15" s="27" t="n"/>
      <c r="F15" s="27" t="n"/>
    </row>
    <row r="16" ht="29.1" customHeight="1" s="3">
      <c r="A16" s="26" t="inlineStr">
        <is>
          <t>nova</t>
        </is>
      </c>
      <c r="B16" s="26" t="inlineStr">
        <is>
          <t>Nova（节制 / 自律）</t>
        </is>
      </c>
      <c r="C16" s="26" t="n"/>
      <c r="D16" s="26" t="n"/>
      <c r="E16" s="26" t="n"/>
      <c r="F16" s="26" t="n"/>
    </row>
    <row r="17"/>
    <row r="18" ht="24" customHeight="1" s="3">
      <c r="A18" s="106" t="inlineStr">
        <is>
          <t>Condition（0x04 Weather 天气状况）</t>
        </is>
      </c>
      <c r="B18" s="61" t="n"/>
      <c r="C18" s="61" t="n"/>
      <c r="D18" s="61" t="n"/>
      <c r="E18" s="61" t="n"/>
      <c r="F18" s="143" t="n"/>
    </row>
    <row r="19" ht="21.95" customHeight="1" s="3">
      <c r="A19" s="25" t="inlineStr">
        <is>
          <t>值</t>
        </is>
      </c>
      <c r="B19" s="25" t="inlineStr">
        <is>
          <t>名称/说明</t>
        </is>
      </c>
      <c r="C19" s="25" t="inlineStr">
        <is>
          <t>补充说明</t>
        </is>
      </c>
      <c r="D19" s="25" t="n"/>
      <c r="E19" s="25" t="n"/>
      <c r="F19" s="25" t="n"/>
    </row>
    <row r="20" ht="29.1" customHeight="1" s="3">
      <c r="A20" s="26" t="inlineStr">
        <is>
          <t>sun.max.fill</t>
        </is>
      </c>
      <c r="B20" s="26" t="inlineStr">
        <is>
          <t>晴天</t>
        </is>
      </c>
      <c r="C20" s="26" t="n"/>
      <c r="D20" s="26" t="n"/>
      <c r="E20" s="26" t="n"/>
      <c r="F20" s="26" t="n"/>
    </row>
    <row r="21" ht="29.1" customHeight="1" s="3">
      <c r="A21" s="27" t="inlineStr">
        <is>
          <t>cloud.fill</t>
        </is>
      </c>
      <c r="B21" s="27" t="inlineStr">
        <is>
          <t>多云</t>
        </is>
      </c>
      <c r="C21" s="27" t="n"/>
      <c r="D21" s="27" t="n"/>
      <c r="E21" s="27" t="n"/>
      <c r="F21" s="27" t="n"/>
    </row>
    <row r="22" ht="29.1" customHeight="1" s="3">
      <c r="A22" s="26" t="inlineStr">
        <is>
          <t>cloud.sun.fill</t>
        </is>
      </c>
      <c r="B22" s="26" t="inlineStr">
        <is>
          <t>局部多云</t>
        </is>
      </c>
      <c r="C22" s="26" t="n"/>
      <c r="D22" s="26" t="n"/>
      <c r="E22" s="26" t="n"/>
      <c r="F22" s="26" t="n"/>
    </row>
    <row r="23" ht="29.1" customHeight="1" s="3">
      <c r="A23" s="27" t="inlineStr">
        <is>
          <t>cloud.rain.fill</t>
        </is>
      </c>
      <c r="B23" s="27" t="inlineStr">
        <is>
          <t>雨天</t>
        </is>
      </c>
      <c r="C23" s="27" t="n"/>
      <c r="D23" s="27" t="n"/>
      <c r="E23" s="27" t="n"/>
      <c r="F23" s="27" t="n"/>
    </row>
    <row r="24" ht="29.1" customHeight="1" s="3">
      <c r="A24" s="26" t="inlineStr">
        <is>
          <t>cloud.snow.fill</t>
        </is>
      </c>
      <c r="B24" s="26" t="inlineStr">
        <is>
          <t>雪天</t>
        </is>
      </c>
      <c r="C24" s="26" t="n"/>
      <c r="D24" s="26" t="n"/>
      <c r="E24" s="26" t="n"/>
      <c r="F24" s="26" t="n"/>
    </row>
    <row r="25" ht="29.1" customHeight="1" s="3">
      <c r="A25" s="27" t="inlineStr">
        <is>
          <t>cloud.bolt.fill</t>
        </is>
      </c>
      <c r="B25" s="27" t="inlineStr">
        <is>
          <t>暴风雨</t>
        </is>
      </c>
      <c r="C25" s="27" t="n"/>
      <c r="D25" s="27" t="n"/>
      <c r="E25" s="27" t="n"/>
      <c r="F25" s="27" t="n"/>
    </row>
    <row r="26"/>
    <row r="27" ht="24" customHeight="1" s="3">
      <c r="A27" s="106" t="inlineStr">
        <is>
          <t>Category（0x10 DayPack Event 类别，v2.5.27）</t>
        </is>
      </c>
      <c r="B27" s="61" t="n"/>
      <c r="C27" s="61" t="n"/>
      <c r="D27" s="61" t="n"/>
      <c r="E27" s="61" t="n"/>
      <c r="F27" s="143" t="n"/>
    </row>
    <row r="28" ht="21.95" customHeight="1" s="3">
      <c r="A28" s="25" t="inlineStr">
        <is>
          <t>值</t>
        </is>
      </c>
      <c r="B28" s="25" t="inlineStr">
        <is>
          <t>名称/说明</t>
        </is>
      </c>
      <c r="C28" s="25" t="inlineStr">
        <is>
          <t>补充说明</t>
        </is>
      </c>
      <c r="D28" s="25" t="n"/>
      <c r="E28" s="25" t="n"/>
      <c r="F28" s="25" t="n"/>
    </row>
    <row r="29" ht="29.1" customHeight="1" s="3">
      <c r="A29" s="26" t="inlineStr">
        <is>
          <t>0x00</t>
        </is>
      </c>
      <c r="B29" s="26" t="inlineStr">
        <is>
          <t>未分类（保留值）</t>
        </is>
      </c>
      <c r="C29" s="26" t="inlineStr">
        <is>
          <t>不画图标；App 自 v2.5.28 起不再发送，归类不了的一律按 0x03 下发</t>
        </is>
      </c>
      <c r="D29" s="26" t="n"/>
      <c r="E29" s="26" t="n"/>
      <c r="F29" s="26" t="n"/>
    </row>
    <row r="30" ht="29.1" customHeight="1" s="3">
      <c r="A30" s="27" t="inlineStr">
        <is>
          <t>0x01</t>
        </is>
      </c>
      <c r="B30" s="27" t="inlineStr">
        <is>
          <t>Deep Work（深度工作/核心生产力）</t>
        </is>
      </c>
      <c r="C30" s="27" t="inlineStr">
        <is>
          <t>内置图标：沙漏</t>
        </is>
      </c>
      <c r="D30" s="27" t="n"/>
      <c r="E30" s="27" t="n"/>
      <c r="F30" s="27" t="n"/>
    </row>
    <row r="31" ht="29.1" customHeight="1" s="3">
      <c r="A31" s="26" t="inlineStr">
        <is>
          <t>0x02</t>
        </is>
      </c>
      <c r="B31" s="26" t="inlineStr">
        <is>
          <t>Meetings &amp; Synced（会议与协同沟通）</t>
        </is>
      </c>
      <c r="C31" s="26" t="inlineStr">
        <is>
          <t>内置图标：对话气泡</t>
        </is>
      </c>
      <c r="D31" s="26" t="n"/>
      <c r="E31" s="26" t="n"/>
      <c r="F31" s="26" t="n"/>
    </row>
    <row r="32" ht="29.1" customHeight="1" s="3">
      <c r="A32" s="27" t="inlineStr">
        <is>
          <t>0x03</t>
        </is>
      </c>
      <c r="B32" s="27" t="inlineStr">
        <is>
          <t>Administrative &amp; Routine（行政日常琐碎）</t>
        </is>
      </c>
      <c r="C32" s="27" t="inlineStr">
        <is>
          <t>内置图标：点赞</t>
        </is>
      </c>
      <c r="D32" s="27" t="n"/>
      <c r="E32" s="27" t="n"/>
      <c r="F32" s="27" t="n"/>
    </row>
    <row r="33" ht="29.1" customHeight="1" s="3">
      <c r="A33" s="26" t="inlineStr">
        <is>
          <t>0x04</t>
        </is>
      </c>
      <c r="B33" s="26" t="inlineStr">
        <is>
          <t>Critical Deadlines（硬性死线与交付）</t>
        </is>
      </c>
      <c r="C33" s="26" t="inlineStr">
        <is>
          <t>内置图标：对勾</t>
        </is>
      </c>
      <c r="D33" s="26" t="n"/>
      <c r="E33" s="26" t="n"/>
      <c r="F33" s="26" t="n"/>
    </row>
    <row r="34" ht="29.1" customHeight="1" s="3">
      <c r="A34" s="27" t="inlineStr">
        <is>
          <t>0x05</t>
        </is>
      </c>
      <c r="B34" s="27" t="inlineStr">
        <is>
          <t>Bio-Habits &amp; Wellness（生物钟习惯与健康）</t>
        </is>
      </c>
      <c r="C34" s="27" t="inlineStr">
        <is>
          <t>内置图标：爱心</t>
        </is>
      </c>
      <c r="D34" s="27" t="n"/>
      <c r="E34" s="27" t="n"/>
      <c r="F34" s="27" t="n"/>
    </row>
    <row r="35" ht="29.1" customHeight="1" s="3">
      <c r="A35" s="26" t="inlineStr">
        <is>
          <t>0x06</t>
        </is>
      </c>
      <c r="B35" s="26" t="inlineStr">
        <is>
          <t>Rest &amp; Recharge（充能与私人生活）</t>
        </is>
      </c>
      <c r="C35" s="26" t="inlineStr">
        <is>
          <t>内置图标：笑脸</t>
        </is>
      </c>
      <c r="D35" s="26" t="n"/>
      <c r="E35" s="26" t="n"/>
      <c r="F35" s="26" t="n"/>
    </row>
    <row r="36"/>
    <row r="37" ht="24" customHeight="1" s="3">
      <c r="A37" s="106" t="inlineStr">
        <is>
          <t>DeviceMode / Phase（0x12 / 0x14）</t>
        </is>
      </c>
      <c r="B37" s="61" t="n"/>
      <c r="C37" s="61" t="n"/>
      <c r="D37" s="61" t="n"/>
      <c r="E37" s="61" t="n"/>
      <c r="F37" s="143" t="n"/>
    </row>
    <row r="38" ht="21.95" customHeight="1" s="3">
      <c r="A38" s="25" t="inlineStr">
        <is>
          <t>值</t>
        </is>
      </c>
      <c r="B38" s="25" t="inlineStr">
        <is>
          <t>名称/说明</t>
        </is>
      </c>
      <c r="C38" s="25" t="inlineStr">
        <is>
          <t>补充说明</t>
        </is>
      </c>
      <c r="D38" s="25" t="n"/>
      <c r="E38" s="25" t="n"/>
      <c r="F38" s="25" t="n"/>
    </row>
    <row r="39" ht="29.1" customHeight="1" s="3">
      <c r="A39" s="26" t="inlineStr">
        <is>
          <t>0x00</t>
        </is>
      </c>
      <c r="B39" s="26" t="inlineStr">
        <is>
          <t>Interactive（0x12） / idle（0x14）</t>
        </is>
      </c>
      <c r="C39" s="26" t="inlineStr">
        <is>
          <t>0x12：交互模式；0x14：无活跃专注会话</t>
        </is>
      </c>
      <c r="D39" s="26" t="n"/>
      <c r="E39" s="26" t="n"/>
      <c r="F39" s="26" t="n"/>
    </row>
    <row r="40" ht="29.1" customHeight="1" s="3">
      <c r="A40" s="27" t="inlineStr">
        <is>
          <t>0x01</t>
        </is>
      </c>
      <c r="B40" s="27" t="inlineStr">
        <is>
          <t>Focus（0x12） / warmup（0x14）</t>
        </is>
      </c>
      <c r="C40" s="27" t="inlineStr">
        <is>
          <t>0x14：当前未打断段 0–5 分钟</t>
        </is>
      </c>
      <c r="D40" s="27" t="n"/>
      <c r="E40" s="27" t="n"/>
      <c r="F40" s="27" t="n"/>
    </row>
    <row r="41" ht="29.1" customHeight="1" s="3">
      <c r="A41" s="26" t="inlineStr">
        <is>
          <t>0x02</t>
        </is>
      </c>
      <c r="B41" s="26" t="inlineStr">
        <is>
          <t>building（0x14）</t>
        </is>
      </c>
      <c r="C41" s="26" t="inlineStr">
        <is>
          <t>当前未打断段 6–15 分钟</t>
        </is>
      </c>
      <c r="D41" s="26" t="n"/>
      <c r="E41" s="26" t="n"/>
      <c r="F41" s="26" t="n"/>
    </row>
    <row r="42" ht="29.1" customHeight="1" s="3">
      <c r="A42" s="27" t="inlineStr">
        <is>
          <t>0x03</t>
        </is>
      </c>
      <c r="B42" s="27" t="inlineStr">
        <is>
          <t>deep（0x14）</t>
        </is>
      </c>
      <c r="C42" s="27" t="inlineStr">
        <is>
          <t>当前未打断段 16 分钟以上</t>
        </is>
      </c>
      <c r="D42" s="27" t="n"/>
      <c r="E42" s="27" t="n"/>
      <c r="F42" s="27" t="n"/>
    </row>
    <row r="43"/>
    <row r="44" ht="24" customHeight="1" s="3">
      <c r="A44" s="106" t="inlineStr">
        <is>
          <t>ReminderType（0x13 SmartReminder）</t>
        </is>
      </c>
      <c r="B44" s="61" t="n"/>
      <c r="C44" s="61" t="n"/>
      <c r="D44" s="61" t="n"/>
      <c r="E44" s="61" t="n"/>
      <c r="F44" s="143" t="n"/>
    </row>
    <row r="45" ht="21.95" customHeight="1" s="3">
      <c r="A45" s="25" t="inlineStr">
        <is>
          <t>值</t>
        </is>
      </c>
      <c r="B45" s="25" t="inlineStr">
        <is>
          <t>名称/说明</t>
        </is>
      </c>
      <c r="C45" s="25" t="inlineStr">
        <is>
          <t>补充说明</t>
        </is>
      </c>
      <c r="D45" s="25" t="n"/>
      <c r="E45" s="25" t="n"/>
      <c r="F45" s="25" t="n"/>
    </row>
    <row r="46" ht="29.1" customHeight="1" s="3">
      <c r="A46" s="26" t="inlineStr">
        <is>
          <t>0x00</t>
        </is>
      </c>
      <c r="B46" s="26" t="inlineStr">
        <is>
          <t>Gentle</t>
        </is>
      </c>
      <c r="C46" s="26" t="inlineStr">
        <is>
          <t>普通提醒，标准显示</t>
        </is>
      </c>
      <c r="D46" s="26" t="n"/>
      <c r="E46" s="26" t="n"/>
      <c r="F46" s="26" t="n"/>
    </row>
    <row r="47" ht="29.1" customHeight="1" s="3">
      <c r="A47" s="27" t="inlineStr">
        <is>
          <t>0x01</t>
        </is>
      </c>
      <c r="B47" s="27" t="inlineStr">
        <is>
          <t>Urgent</t>
        </is>
      </c>
      <c r="C47" s="27" t="inlineStr">
        <is>
          <t>紧急提醒，加粗边框显示</t>
        </is>
      </c>
      <c r="D47" s="27" t="n"/>
      <c r="E47" s="27" t="n"/>
      <c r="F47" s="27" t="n"/>
    </row>
    <row r="48"/>
    <row r="49" ht="24" customHeight="1" s="3">
      <c r="A49" s="106" t="inlineStr">
        <is>
          <t>SceneId / SceneByte（0x17 SceneUnlock / 0x16 Screensaver）</t>
        </is>
      </c>
      <c r="B49" s="61" t="n"/>
      <c r="C49" s="61" t="n"/>
      <c r="D49" s="61" t="n"/>
      <c r="E49" s="61" t="n"/>
      <c r="F49" s="143" t="n"/>
    </row>
    <row r="50" ht="21.95" customHeight="1" s="3">
      <c r="A50" s="25" t="inlineStr">
        <is>
          <t>值</t>
        </is>
      </c>
      <c r="B50" s="25" t="inlineStr">
        <is>
          <t>名称/说明</t>
        </is>
      </c>
      <c r="C50" s="25" t="inlineStr">
        <is>
          <t>补充说明</t>
        </is>
      </c>
      <c r="D50" s="25" t="n"/>
      <c r="E50" s="25" t="n"/>
      <c r="F50" s="25" t="n"/>
    </row>
    <row r="51" ht="29.1" customHeight="1" s="3">
      <c r="A51" s="26" t="inlineStr">
        <is>
          <t>0x00</t>
        </is>
      </c>
      <c r="B51" s="26" t="inlineStr">
        <is>
          <t>harbor</t>
        </is>
      </c>
      <c r="C51" s="26" t="inlineStr">
        <is>
          <t>港口场景</t>
        </is>
      </c>
      <c r="D51" s="26" t="n"/>
      <c r="E51" s="26" t="n"/>
      <c r="F51" s="26" t="n"/>
    </row>
    <row r="52" ht="29.1" customHeight="1" s="3">
      <c r="A52" s="27" t="inlineStr">
        <is>
          <t>0x01</t>
        </is>
      </c>
      <c r="B52" s="27" t="inlineStr">
        <is>
          <t>forest</t>
        </is>
      </c>
      <c r="C52" s="27" t="inlineStr">
        <is>
          <t>森林场景</t>
        </is>
      </c>
      <c r="D52" s="27" t="n"/>
      <c r="E52" s="27" t="n"/>
      <c r="F52" s="27" t="n"/>
    </row>
    <row r="53" ht="29.1" customHeight="1" s="3">
      <c r="A53" s="26" t="inlineStr">
        <is>
          <t>0x02</t>
        </is>
      </c>
      <c r="B53" s="26" t="inlineStr">
        <is>
          <t>nightCity</t>
        </is>
      </c>
      <c r="C53" s="26" t="inlineStr">
        <is>
          <t>城市夜景场景</t>
        </is>
      </c>
      <c r="D53" s="26" t="n"/>
      <c r="E53" s="26" t="n"/>
      <c r="F53" s="26" t="n"/>
    </row>
    <row r="54"/>
    <row r="55" ht="24" customHeight="1" s="3">
      <c r="A55" s="106" t="inlineStr">
        <is>
          <t>ContentType（0x16 Screensaver）</t>
        </is>
      </c>
      <c r="B55" s="61" t="n"/>
      <c r="C55" s="61" t="n"/>
      <c r="D55" s="61" t="n"/>
      <c r="E55" s="61" t="n"/>
      <c r="F55" s="143" t="n"/>
    </row>
    <row r="56" ht="21.95" customHeight="1" s="3">
      <c r="A56" s="25" t="inlineStr">
        <is>
          <t>值</t>
        </is>
      </c>
      <c r="B56" s="25" t="inlineStr">
        <is>
          <t>名称/说明</t>
        </is>
      </c>
      <c r="C56" s="25" t="inlineStr">
        <is>
          <t>补充说明</t>
        </is>
      </c>
      <c r="D56" s="25" t="n"/>
      <c r="E56" s="25" t="n"/>
      <c r="F56" s="25" t="n"/>
    </row>
    <row r="57" ht="29.1" customHeight="1" s="3">
      <c r="A57" s="26" t="inlineStr">
        <is>
          <t>0x00</t>
        </is>
      </c>
      <c r="B57" s="26" t="inlineStr">
        <is>
          <t>normal</t>
        </is>
      </c>
      <c r="C57" s="26" t="inlineStr">
        <is>
          <t>金句</t>
        </is>
      </c>
      <c r="D57" s="26" t="n"/>
      <c r="E57" s="26" t="n"/>
      <c r="F57" s="26" t="n"/>
    </row>
    <row r="58" ht="29.1" customHeight="1" s="3">
      <c r="A58" s="27" t="inlineStr">
        <is>
          <t>0x01</t>
        </is>
      </c>
      <c r="B58" s="27" t="inlineStr">
        <is>
          <t>postcard</t>
        </is>
      </c>
      <c r="C58" s="27" t="inlineStr">
        <is>
          <t>明信片</t>
        </is>
      </c>
      <c r="D58" s="27" t="n"/>
      <c r="E58" s="27" t="n"/>
      <c r="F58" s="27" t="n"/>
    </row>
    <row r="59"/>
    <row r="60" ht="24" customHeight="1" s="3">
      <c r="A60" s="106" t="inlineStr">
        <is>
          <t>Command（0x19 WiFiDebugMode / 0x1A WiFiAvatarSession）</t>
        </is>
      </c>
      <c r="B60" s="61" t="n"/>
      <c r="C60" s="61" t="n"/>
      <c r="D60" s="61" t="n"/>
      <c r="E60" s="61" t="n"/>
      <c r="F60" s="143" t="n"/>
    </row>
    <row r="61" ht="21.95" customHeight="1" s="3">
      <c r="A61" s="25" t="inlineStr">
        <is>
          <t>值</t>
        </is>
      </c>
      <c r="B61" s="25" t="inlineStr">
        <is>
          <t>名称/说明</t>
        </is>
      </c>
      <c r="C61" s="25" t="inlineStr">
        <is>
          <t>补充说明</t>
        </is>
      </c>
      <c r="D61" s="25" t="n"/>
      <c r="E61" s="25" t="n"/>
      <c r="F61" s="25" t="n"/>
    </row>
    <row r="62" ht="29.1" customHeight="1" s="3">
      <c r="A62" s="26" t="inlineStr">
        <is>
          <t>0x00</t>
        </is>
      </c>
      <c r="B62" s="26" t="inlineStr">
        <is>
          <t>close</t>
        </is>
      </c>
      <c r="C62" s="26" t="inlineStr">
        <is>
          <t>关闭 / 停止 SoftAP</t>
        </is>
      </c>
      <c r="D62" s="26" t="n"/>
      <c r="E62" s="26" t="n"/>
      <c r="F62" s="26" t="n"/>
    </row>
    <row r="63" ht="29.1" customHeight="1" s="3">
      <c r="A63" s="27" t="inlineStr">
        <is>
          <t>0x01</t>
        </is>
      </c>
      <c r="B63" s="27" t="inlineStr">
        <is>
          <t>open</t>
        </is>
      </c>
      <c r="C63" s="27" t="inlineStr">
        <is>
          <t>开启并回报状态（0x1A 附带凭据与端点）</t>
        </is>
      </c>
      <c r="D63" s="27" t="n"/>
      <c r="E63" s="27" t="n"/>
      <c r="F63" s="27" t="n"/>
    </row>
    <row r="64" ht="29.1" customHeight="1" s="3">
      <c r="A64" s="26" t="inlineStr">
        <is>
          <t>0x02</t>
        </is>
      </c>
      <c r="B64" s="26" t="inlineStr">
        <is>
          <t>query</t>
        </is>
      </c>
      <c r="C64" s="26" t="inlineStr">
        <is>
          <t>查询当前实际状态，不改变状态</t>
        </is>
      </c>
      <c r="D64" s="26" t="n"/>
      <c r="E64" s="26" t="n"/>
      <c r="F64" s="26" t="n"/>
    </row>
    <row r="65"/>
    <row r="66" ht="24" customHeight="1" s="3">
      <c r="A66" s="106" t="inlineStr">
        <is>
          <t>Command（0x22 AvatarControl）</t>
        </is>
      </c>
      <c r="B66" s="61" t="n"/>
      <c r="C66" s="61" t="n"/>
      <c r="D66" s="61" t="n"/>
      <c r="E66" s="61" t="n"/>
      <c r="F66" s="143" t="n"/>
    </row>
    <row r="67" ht="21.95" customHeight="1" s="3">
      <c r="A67" s="25" t="inlineStr">
        <is>
          <t>值</t>
        </is>
      </c>
      <c r="B67" s="25" t="inlineStr">
        <is>
          <t>名称/说明</t>
        </is>
      </c>
      <c r="C67" s="25" t="inlineStr">
        <is>
          <t>补充说明</t>
        </is>
      </c>
      <c r="D67" s="25" t="n"/>
      <c r="E67" s="25" t="n"/>
      <c r="F67" s="25" t="n"/>
    </row>
    <row r="68" ht="29.1" customHeight="1" s="3">
      <c r="A68" s="26" t="inlineStr">
        <is>
          <t>0x01</t>
        </is>
      </c>
      <c r="B68" s="26" t="inlineStr">
        <is>
          <t>commit</t>
        </is>
      </c>
      <c r="C68" s="26" t="inlineStr">
        <is>
          <t>原子提交已 staged 的同 OperationID+AvatarID 候选图并启用</t>
        </is>
      </c>
      <c r="D68" s="26" t="n"/>
      <c r="E68" s="26" t="n"/>
      <c r="F68" s="26" t="n"/>
    </row>
    <row r="69" ht="29.1" customHeight="1" s="3">
      <c r="A69" s="27" t="inlineStr">
        <is>
          <t>0x02</t>
        </is>
      </c>
      <c r="B69" s="27" t="inlineStr">
        <is>
          <t>eraseExact</t>
        </is>
      </c>
      <c r="C69" s="27" t="inlineStr">
        <is>
          <t>仅在正式库存 AvatarID 精确相等时擦除并重建分区</t>
        </is>
      </c>
      <c r="D69" s="27" t="n"/>
      <c r="E69" s="27" t="n"/>
      <c r="F69" s="27" t="n"/>
    </row>
    <row r="70" ht="29.1" customHeight="1" s="3">
      <c r="A70" s="26" t="inlineStr">
        <is>
          <t>0x03</t>
        </is>
      </c>
      <c r="B70" s="26" t="inlineStr">
        <is>
          <t>eraseAll</t>
        </is>
      </c>
      <c r="C70" s="26" t="inlineStr">
        <is>
          <t>AvatarID 全 16B 为 0；退出登录/账户清理</t>
        </is>
      </c>
      <c r="D70" s="26" t="n"/>
      <c r="E70" s="26" t="n"/>
      <c r="F70" s="26" t="n"/>
    </row>
    <row r="71" ht="29.1" customHeight="1" s="3">
      <c r="A71" s="27" t="inlineStr">
        <is>
          <t>0x04</t>
        </is>
      </c>
      <c r="B71" s="27" t="inlineStr">
        <is>
          <t>query</t>
        </is>
      </c>
      <c r="C71" s="27" t="inlineStr">
        <is>
          <t>AvatarID 全 16B 为 0；查询 staged 或 committed 真实库存（只读）</t>
        </is>
      </c>
      <c r="D71" s="27" t="n"/>
      <c r="E71" s="27" t="n"/>
      <c r="F71" s="27" t="n"/>
    </row>
    <row r="72" ht="29.1" customHeight="1" s="3">
      <c r="A72" s="26" t="inlineStr">
        <is>
          <t>0x05</t>
        </is>
      </c>
      <c r="B72" s="26" t="inlineStr">
        <is>
          <t>abort</t>
        </is>
      </c>
      <c r="C72" s="26" t="inlineStr">
        <is>
          <t>AvatarID 全 16B 为 0；仅 commit 前放弃候选临时文件</t>
        </is>
      </c>
      <c r="D72" s="26" t="n"/>
      <c r="E72" s="26" t="n"/>
      <c r="F72" s="26" t="n"/>
    </row>
    <row r="73"/>
    <row r="74" ht="24" customHeight="1" s="3">
      <c r="A74" s="106" t="inlineStr">
        <is>
          <t>Action（0x1B TaskListSnapshotAck）</t>
        </is>
      </c>
      <c r="B74" s="61" t="n"/>
      <c r="C74" s="61" t="n"/>
      <c r="D74" s="61" t="n"/>
      <c r="E74" s="61" t="n"/>
      <c r="F74" s="143" t="n"/>
    </row>
    <row r="75" ht="21.95" customHeight="1" s="3">
      <c r="A75" s="25" t="inlineStr">
        <is>
          <t>值</t>
        </is>
      </c>
      <c r="B75" s="25" t="inlineStr">
        <is>
          <t>名称/说明</t>
        </is>
      </c>
      <c r="C75" s="25" t="inlineStr">
        <is>
          <t>补充说明</t>
        </is>
      </c>
      <c r="D75" s="25" t="n"/>
      <c r="E75" s="25" t="n"/>
      <c r="F75" s="25" t="n"/>
    </row>
    <row r="76" ht="29.1" customHeight="1" s="3">
      <c r="A76" s="26" t="inlineStr">
        <is>
          <t>0x11</t>
        </is>
      </c>
      <c r="B76" s="26" t="inlineStr">
        <is>
          <t>Complete</t>
        </is>
      </c>
      <c r="C76" s="26" t="inlineStr">
        <is>
          <t>原请求动作为完成</t>
        </is>
      </c>
      <c r="D76" s="26" t="n"/>
      <c r="E76" s="26" t="n"/>
      <c r="F76" s="26" t="n"/>
    </row>
    <row r="77" ht="29.1" customHeight="1" s="3">
      <c r="A77" s="27" t="inlineStr">
        <is>
          <t>0x12</t>
        </is>
      </c>
      <c r="B77" s="27" t="inlineStr">
        <is>
          <t>Skip</t>
        </is>
      </c>
      <c r="C77" s="27" t="inlineStr">
        <is>
          <t>原请求动作为跳过</t>
        </is>
      </c>
      <c r="D77" s="27" t="n"/>
      <c r="E77" s="27" t="n"/>
      <c r="F77" s="27" t="n"/>
    </row>
    <row r="78" ht="29.1" customHeight="1" s="3">
      <c r="A78" s="26" t="inlineStr">
        <is>
          <t>0x20</t>
        </is>
      </c>
      <c r="B78" s="26" t="inlineStr">
        <is>
          <t>Refresh</t>
        </is>
      </c>
      <c r="C78" s="26" t="inlineStr">
        <is>
          <t>原请求动作为刷新（OperationID=RequestID）</t>
        </is>
      </c>
      <c r="D78" s="26" t="n"/>
      <c r="E78" s="26" t="n"/>
      <c r="F78" s="26" t="n"/>
    </row>
    <row r="79"/>
    <row r="80" ht="24" customHeight="1" s="3">
      <c r="A80" s="106" t="inlineStr">
        <is>
          <t>Result（0x1B TaskListSnapshotAck）</t>
        </is>
      </c>
      <c r="B80" s="61" t="n"/>
      <c r="C80" s="61" t="n"/>
      <c r="D80" s="61" t="n"/>
      <c r="E80" s="61" t="n"/>
      <c r="F80" s="143" t="n"/>
    </row>
    <row r="81" ht="21.95" customHeight="1" s="3">
      <c r="A81" s="25" t="inlineStr">
        <is>
          <t>值</t>
        </is>
      </c>
      <c r="B81" s="25" t="inlineStr">
        <is>
          <t>名称/说明</t>
        </is>
      </c>
      <c r="C81" s="25" t="inlineStr">
        <is>
          <t>补充说明</t>
        </is>
      </c>
      <c r="D81" s="25" t="n"/>
      <c r="E81" s="25" t="n"/>
      <c r="F81" s="25" t="n"/>
    </row>
    <row r="82" ht="29.1" customHeight="1" s="3">
      <c r="A82" s="26" t="inlineStr">
        <is>
          <t>0x00</t>
        </is>
      </c>
      <c r="B82" s="26" t="inlineStr">
        <is>
          <t>applied</t>
        </is>
      </c>
      <c r="C82" s="26" t="inlineStr">
        <is>
          <t>新操作已成功应用</t>
        </is>
      </c>
      <c r="D82" s="26" t="n"/>
      <c r="E82" s="26" t="n"/>
      <c r="F82" s="26" t="n"/>
    </row>
    <row r="83" ht="29.1" customHeight="1" s="3">
      <c r="A83" s="27" t="inlineStr">
        <is>
          <t>0x01</t>
        </is>
      </c>
      <c r="B83" s="27" t="inlineStr">
        <is>
          <t>alreadyApplied</t>
        </is>
      </c>
      <c r="C83" s="27" t="inlineStr">
        <is>
          <t>首次收到该 OperationID 时任务已是完成状态</t>
        </is>
      </c>
      <c r="D83" s="27" t="n"/>
      <c r="E83" s="27" t="n"/>
      <c r="F83" s="27" t="n"/>
    </row>
    <row r="84" ht="29.1" customHeight="1" s="3">
      <c r="A84" s="26" t="inlineStr">
        <is>
          <t>0x02</t>
        </is>
      </c>
      <c r="B84" s="26" t="inlineStr">
        <is>
          <t>taskNotFound</t>
        </is>
      </c>
      <c r="C84" s="26" t="inlineStr">
        <is>
          <t>App 找不到 TaskId，任务状态未改变</t>
        </is>
      </c>
      <c r="D84" s="26" t="n"/>
      <c r="E84" s="26" t="n"/>
      <c r="F84" s="26" t="n"/>
    </row>
    <row r="85" ht="29.1" customHeight="1" s="3">
      <c r="A85" s="27" t="inlineStr">
        <is>
          <t>0x03</t>
        </is>
      </c>
      <c r="B85" s="27" t="inlineStr">
        <is>
          <t>invalidRequest</t>
        </is>
      </c>
      <c r="C85" s="27" t="inlineStr">
        <is>
          <t>业务校验失败，或同一 OperationID 被复用于不同 payload</t>
        </is>
      </c>
      <c r="D85" s="27" t="n"/>
      <c r="E85" s="27" t="n"/>
      <c r="F85" s="27" t="n"/>
    </row>
    <row r="86" ht="29.1" customHeight="1" s="3">
      <c r="A86" s="26" t="inlineStr">
        <is>
          <t>0x04</t>
        </is>
      </c>
      <c r="B86" s="26" t="inlineStr">
        <is>
          <t>supersededByApp</t>
        </is>
      </c>
      <c r="C86" s="26" t="inlineStr">
        <is>
          <t>App 已有更新的决定，本次设备动作未覆盖</t>
        </is>
      </c>
      <c r="D86" s="26" t="n"/>
      <c r="E86" s="26" t="n"/>
      <c r="F86" s="26" t="n"/>
    </row>
    <row r="87" ht="29.1" customHeight="1" s="3">
      <c r="A87" s="27" t="inlineStr">
        <is>
          <t>0xFF</t>
        </is>
      </c>
      <c r="B87" s="27" t="inlineStr">
        <is>
          <t>internalError</t>
        </is>
      </c>
      <c r="C87" s="27" t="inlineStr">
        <is>
          <t>App 内部处理失败；设备保留上个已确认快照并可重试</t>
        </is>
      </c>
      <c r="D87" s="27" t="n"/>
      <c r="E87" s="27" t="n"/>
      <c r="F87" s="27" t="n"/>
    </row>
    <row r="88"/>
    <row r="89" ht="24" customHeight="1" s="3">
      <c r="A89" s="106" t="inlineStr">
        <is>
          <t>StatusCode（0x18 OTAResult）</t>
        </is>
      </c>
      <c r="B89" s="61" t="n"/>
      <c r="C89" s="61" t="n"/>
      <c r="D89" s="61" t="n"/>
      <c r="E89" s="61" t="n"/>
      <c r="F89" s="143" t="n"/>
    </row>
    <row r="90" ht="21.95" customHeight="1" s="3">
      <c r="A90" s="25" t="inlineStr">
        <is>
          <t>值</t>
        </is>
      </c>
      <c r="B90" s="25" t="inlineStr">
        <is>
          <t>名称/说明</t>
        </is>
      </c>
      <c r="C90" s="25" t="inlineStr">
        <is>
          <t>补充说明</t>
        </is>
      </c>
      <c r="D90" s="25" t="n"/>
      <c r="E90" s="25" t="n"/>
      <c r="F90" s="25" t="n"/>
    </row>
    <row r="91" ht="29.1" customHeight="1" s="3">
      <c r="A91" s="26" t="inlineStr">
        <is>
          <t>0x00</t>
        </is>
      </c>
      <c r="B91" s="26" t="inlineStr">
        <is>
          <t>OK_START_UPGRADE</t>
        </is>
      </c>
      <c r="C91" s="26" t="inlineStr">
        <is>
          <t>升级包检查通过，发应答后立即重启进入升级（BLE 关闭约 20 秒）</t>
        </is>
      </c>
      <c r="D91" s="26" t="n"/>
      <c r="E91" s="26" t="n"/>
      <c r="F91" s="26" t="n"/>
    </row>
    <row r="92" ht="29.1" customHeight="1" s="3">
      <c r="A92" s="27" t="inlineStr">
        <is>
          <t>0x01</t>
        </is>
      </c>
      <c r="B92" s="27" t="inlineStr">
        <is>
          <t>ERR_NO_FILE</t>
        </is>
      </c>
      <c r="C92" s="27" t="inlineStr">
        <is>
          <t>无 update.bin；不重启</t>
        </is>
      </c>
      <c r="D92" s="27" t="n"/>
      <c r="E92" s="27" t="n"/>
      <c r="F92" s="27" t="n"/>
    </row>
    <row r="93" ht="29.1" customHeight="1" s="3">
      <c r="A93" s="26" t="inlineStr">
        <is>
          <t>0x02</t>
        </is>
      </c>
      <c r="B93" s="26" t="inlineStr">
        <is>
          <t>ERR_FILE_SIZE</t>
        </is>
      </c>
      <c r="C93" s="26" t="inlineStr">
        <is>
          <t>文件大小异常（=0 或 &gt;3MB）；不重启</t>
        </is>
      </c>
      <c r="D93" s="26" t="n"/>
      <c r="E93" s="26" t="n"/>
      <c r="F93" s="26" t="n"/>
    </row>
    <row r="94" ht="29.1" customHeight="1" s="3">
      <c r="A94" s="27" t="inlineStr">
        <is>
          <t>0x03</t>
        </is>
      </c>
      <c r="B94" s="27" t="inlineStr">
        <is>
          <t>ERR_SD_CARD</t>
        </is>
      </c>
      <c r="C94" s="27" t="inlineStr">
        <is>
          <t>SD 卡未挂载；不重启</t>
        </is>
      </c>
      <c r="D94" s="27" t="n"/>
      <c r="E94" s="27" t="n"/>
      <c r="F94" s="27" t="n"/>
    </row>
    <row r="95" ht="29.1" customHeight="1" s="3">
      <c r="A95" s="26" t="inlineStr">
        <is>
          <t>0x04</t>
        </is>
      </c>
      <c r="B95" s="26" t="inlineStr">
        <is>
          <t>ERR_OTA_FAILED</t>
        </is>
      </c>
      <c r="C95" s="26" t="inlineStr">
        <is>
          <t>升级写入失败；不重启</t>
        </is>
      </c>
      <c r="D95" s="26" t="n"/>
      <c r="E95" s="26" t="n"/>
      <c r="F95" s="26" t="n"/>
    </row>
    <row r="96" ht="29.1" customHeight="1" s="3">
      <c r="A96" s="27" t="inlineStr">
        <is>
          <t>0xFF</t>
        </is>
      </c>
      <c r="B96" s="27" t="inlineStr">
        <is>
          <t>ERR_UNKNOWN</t>
        </is>
      </c>
      <c r="C96" s="27" t="inlineStr">
        <is>
          <t>未知错误；不重启</t>
        </is>
      </c>
      <c r="D96" s="27" t="n"/>
      <c r="E96" s="27" t="n"/>
      <c r="F96" s="27" t="n"/>
    </row>
    <row r="97"/>
    <row r="98" ht="24" customHeight="1" s="3">
      <c r="A98" s="106" t="inlineStr">
        <is>
          <t>StatusCode（0x19 WiFiDebugResult / 0x1A WiFiAvatarSessionResult Status）</t>
        </is>
      </c>
      <c r="B98" s="61" t="n"/>
      <c r="C98" s="61" t="n"/>
      <c r="D98" s="61" t="n"/>
      <c r="E98" s="61" t="n"/>
      <c r="F98" s="143" t="n"/>
    </row>
    <row r="99" ht="21.95" customHeight="1" s="3">
      <c r="A99" s="25" t="inlineStr">
        <is>
          <t>值</t>
        </is>
      </c>
      <c r="B99" s="25" t="inlineStr">
        <is>
          <t>名称/说明</t>
        </is>
      </c>
      <c r="C99" s="25" t="inlineStr">
        <is>
          <t>补充说明</t>
        </is>
      </c>
      <c r="D99" s="25" t="n"/>
      <c r="E99" s="25" t="n"/>
      <c r="F99" s="25" t="n"/>
    </row>
    <row r="100" ht="29.1" customHeight="1" s="3">
      <c r="A100" s="26" t="inlineStr">
        <is>
          <t>0x00</t>
        </is>
      </c>
      <c r="B100" s="26" t="inlineStr">
        <is>
          <t>OK</t>
        </is>
      </c>
      <c r="C100" s="26" t="inlineStr">
        <is>
          <t>命令处理成功</t>
        </is>
      </c>
      <c r="D100" s="26" t="n"/>
      <c r="E100" s="26" t="n"/>
      <c r="F100" s="26" t="n"/>
    </row>
    <row r="101" ht="29.1" customHeight="1" s="3">
      <c r="A101" s="27" t="inlineStr">
        <is>
          <t>0x01</t>
        </is>
      </c>
      <c r="B101" s="27" t="inlineStr">
        <is>
          <t>ERR_UNSUPPORTED</t>
        </is>
      </c>
      <c r="C101" s="27" t="inlineStr">
        <is>
          <t>当前固件/硬件不支持（App 回退 BLE 0x15）</t>
        </is>
      </c>
      <c r="D101" s="27" t="n"/>
      <c r="E101" s="27" t="n"/>
      <c r="F101" s="27" t="n"/>
    </row>
    <row r="102" ht="29.1" customHeight="1" s="3">
      <c r="A102" s="26" t="inlineStr">
        <is>
          <t>0x02</t>
        </is>
      </c>
      <c r="B102" s="26" t="inlineStr">
        <is>
          <t>ERR_BUSY</t>
        </is>
      </c>
      <c r="C102" s="26" t="inlineStr">
        <is>
          <t>SoftAP 被 0x19 占用或另一会话进行中</t>
        </is>
      </c>
      <c r="D102" s="26" t="n"/>
      <c r="E102" s="26" t="n"/>
      <c r="F102" s="26" t="n"/>
    </row>
    <row r="103" ht="29.1" customHeight="1" s="3">
      <c r="A103" s="27" t="inlineStr">
        <is>
          <t>0x03</t>
        </is>
      </c>
      <c r="B103" s="27" t="inlineStr">
        <is>
          <t>ERR_WIFI_INIT_FAILED</t>
        </is>
      </c>
      <c r="C103" s="27" t="inlineStr">
        <is>
          <t>WiFi / SoftAP 初始化失败</t>
        </is>
      </c>
      <c r="D103" s="27" t="n"/>
      <c r="E103" s="27" t="n"/>
      <c r="F103" s="27" t="n"/>
    </row>
    <row r="104" ht="29.1" customHeight="1" s="3">
      <c r="A104" s="26" t="inlineStr">
        <is>
          <t>0x04</t>
        </is>
      </c>
      <c r="B104" s="26" t="inlineStr">
        <is>
          <t>ERR_INVALID_COMMAND</t>
        </is>
      </c>
      <c r="C104" s="26" t="inlineStr">
        <is>
          <t>命令值或 payload 长度非法</t>
        </is>
      </c>
      <c r="D104" s="26" t="n"/>
      <c r="E104" s="26" t="n"/>
      <c r="F104" s="26" t="n"/>
    </row>
    <row r="105" ht="29.1" customHeight="1" s="3">
      <c r="A105" s="27" t="inlineStr">
        <is>
          <t>0xFF</t>
        </is>
      </c>
      <c r="B105" s="27" t="inlineStr">
        <is>
          <t>ERR_UNKNOWN</t>
        </is>
      </c>
      <c r="C105" s="27" t="inlineStr">
        <is>
          <t>未知错误</t>
        </is>
      </c>
      <c r="D105" s="27" t="n"/>
      <c r="E105" s="27" t="n"/>
      <c r="F105" s="27" t="n"/>
    </row>
    <row r="106"/>
    <row r="107" ht="24" customHeight="1" s="3">
      <c r="A107" s="106" t="inlineStr">
        <is>
          <t>Status / AvatarState（0x22 AvatarControlResult）</t>
        </is>
      </c>
      <c r="B107" s="61" t="n"/>
      <c r="C107" s="61" t="n"/>
      <c r="D107" s="61" t="n"/>
      <c r="E107" s="61" t="n"/>
      <c r="F107" s="143" t="n"/>
    </row>
    <row r="108" ht="21.95" customHeight="1" s="3">
      <c r="A108" s="25" t="inlineStr">
        <is>
          <t>值</t>
        </is>
      </c>
      <c r="B108" s="25" t="inlineStr">
        <is>
          <t>名称/说明</t>
        </is>
      </c>
      <c r="C108" s="25" t="inlineStr">
        <is>
          <t>补充说明</t>
        </is>
      </c>
      <c r="D108" s="25" t="n"/>
      <c r="E108" s="25" t="n"/>
      <c r="F108" s="25" t="n"/>
    </row>
    <row r="109" ht="29.1" customHeight="1" s="3">
      <c r="A109" s="26" t="inlineStr">
        <is>
          <t>0x01 / 0x01</t>
        </is>
      </c>
      <c r="B109" s="26" t="inlineStr">
        <is>
          <t>staged</t>
        </is>
      </c>
      <c r="C109" s="26" t="inlineStr">
        <is>
          <t>候选图已暂存（Status）；AvatarState=staged 表示指向 staged 候选</t>
        </is>
      </c>
      <c r="D109" s="26" t="n"/>
      <c r="E109" s="26" t="n"/>
      <c r="F109" s="26" t="n"/>
    </row>
    <row r="110" ht="29.1" customHeight="1" s="3">
      <c r="A110" s="27" t="inlineStr">
        <is>
          <t>0x02 / 0x02</t>
        </is>
      </c>
      <c r="B110" s="27" t="inlineStr">
        <is>
          <t>committed</t>
        </is>
      </c>
      <c r="C110" s="27" t="inlineStr">
        <is>
          <t>已原子替换并启用（Status）；AvatarState=committed 表示正式库存</t>
        </is>
      </c>
      <c r="D110" s="27" t="n"/>
      <c r="E110" s="27" t="n"/>
      <c r="F110" s="27" t="n"/>
    </row>
    <row r="111" ht="29.1" customHeight="1" s="3">
      <c r="A111" s="26" t="inlineStr">
        <is>
          <t>0x03</t>
        </is>
      </c>
      <c r="B111" s="26" t="inlineStr">
        <is>
          <t>erased（Status）</t>
        </is>
      </c>
      <c r="C111" s="26" t="inlineStr">
        <is>
          <t>擦除并重建分区成功</t>
        </is>
      </c>
      <c r="D111" s="26" t="n"/>
      <c r="E111" s="26" t="n"/>
      <c r="F111" s="26" t="n"/>
    </row>
    <row r="112" ht="29.1" customHeight="1" s="3">
      <c r="A112" s="27" t="inlineStr">
        <is>
          <t>0x04</t>
        </is>
      </c>
      <c r="B112" s="27" t="inlineStr">
        <is>
          <t>state（Status）</t>
        </is>
      </c>
      <c r="C112" s="27" t="inlineStr">
        <is>
          <t>query 返回当前状态</t>
        </is>
      </c>
      <c r="D112" s="27" t="n"/>
      <c r="E112" s="27" t="n"/>
      <c r="F112" s="27" t="n"/>
    </row>
    <row r="113" ht="29.1" customHeight="1" s="3">
      <c r="A113" s="26" t="inlineStr">
        <is>
          <t>0x05</t>
        </is>
      </c>
      <c r="B113" s="26" t="inlineStr">
        <is>
          <t>aborted（Status）</t>
        </is>
      </c>
      <c r="C113" s="26" t="inlineStr">
        <is>
          <t>已取消事务</t>
        </is>
      </c>
      <c r="D113" s="26" t="n"/>
      <c r="E113" s="26" t="n"/>
      <c r="F113" s="26" t="n"/>
    </row>
    <row r="114" ht="29.1" customHeight="1" s="3">
      <c r="A114" s="27" t="inlineStr">
        <is>
          <t>0x00</t>
        </is>
      </c>
      <c r="B114" s="27" t="inlineStr">
        <is>
          <t>empty（AvatarState）</t>
        </is>
      </c>
      <c r="C114" s="27" t="inlineStr">
        <is>
          <t>无头像文件</t>
        </is>
      </c>
      <c r="D114" s="27" t="n"/>
      <c r="E114" s="27" t="n"/>
      <c r="F114" s="27" t="n"/>
    </row>
    <row r="115"/>
    <row r="116" ht="21" customHeight="1" s="3">
      <c r="A116" s="152" t="inlineStr">
        <is>
          <t>约定：以上取值均为字节值/字面值；来源：Kirole BLE 通信协议规格文档 2.10.1。</t>
        </is>
      </c>
    </row>
    <row r="117"/>
    <row r="118" ht="24" customHeight="1" s="3">
      <c r="A118" s="107" t="inlineStr">
        <is>
          <t>FocusState（0x14 / 0x25，v1.2.0）</t>
        </is>
      </c>
      <c r="B118" s="153" t="n"/>
      <c r="C118" s="154" t="n"/>
    </row>
    <row r="119" ht="24" customHeight="1" s="3">
      <c r="A119" s="15" t="inlineStr">
        <is>
          <t>值</t>
        </is>
      </c>
      <c r="B119" s="15" t="inlineStr">
        <is>
          <t>名称/说明</t>
        </is>
      </c>
      <c r="C119" s="15" t="inlineStr">
        <is>
          <t>补充说明</t>
        </is>
      </c>
      <c r="D119" s="15" t="n"/>
      <c r="E119" s="15" t="n"/>
      <c r="F119" s="15" t="n"/>
    </row>
    <row r="120" ht="24" customHeight="1" s="3">
      <c r="A120" s="16" t="inlineStr">
        <is>
          <t>0x00</t>
        </is>
      </c>
      <c r="B120" s="16" t="inlineStr">
        <is>
          <t>idle</t>
        </is>
      </c>
      <c r="C120" s="16" t="inlineStr">
        <is>
          <t>无活动专注会话</t>
        </is>
      </c>
      <c r="D120" s="16" t="n"/>
      <c r="E120" s="16" t="n"/>
      <c r="F120" s="16" t="n"/>
    </row>
    <row r="121" ht="24" customHeight="1" s="3">
      <c r="A121" s="17" t="inlineStr">
        <is>
          <t>0x01</t>
        </is>
      </c>
      <c r="B121" s="17" t="inlineStr">
        <is>
          <t>active</t>
        </is>
      </c>
      <c r="C121" s="17" t="inlineStr">
        <is>
          <t>会话正在计时</t>
        </is>
      </c>
      <c r="D121" s="17" t="n"/>
      <c r="E121" s="17" t="n"/>
      <c r="F121" s="17" t="n"/>
    </row>
    <row r="122" ht="24" customHeight="1" s="3">
      <c r="A122" s="16" t="inlineStr">
        <is>
          <t>0x02</t>
        </is>
      </c>
      <c r="B122" s="16" t="inlineStr">
        <is>
          <t>endedPending</t>
        </is>
      </c>
      <c r="C122" s="16" t="inlineStr">
        <is>
          <t>本地已结束但结束操作尚未完成裁决</t>
        </is>
      </c>
      <c r="D122" s="16" t="n"/>
      <c r="E122" s="16" t="n"/>
      <c r="F122" s="16" t="n"/>
    </row>
    <row r="123" ht="24" customHeight="1" s="3"/>
    <row r="124" ht="24" customHeight="1" s="3">
      <c r="A124" s="107" t="inlineStr">
        <is>
          <t>StartSource / EndReason / FocusResolveResult（v1.2.0）</t>
        </is>
      </c>
      <c r="B124" s="153" t="n"/>
      <c r="C124" s="154" t="n"/>
    </row>
    <row r="125" ht="24" customHeight="1" s="3">
      <c r="A125" s="15" t="inlineStr">
        <is>
          <t>值</t>
        </is>
      </c>
      <c r="B125" s="15" t="inlineStr">
        <is>
          <t>名称/说明</t>
        </is>
      </c>
      <c r="C125" s="15" t="inlineStr">
        <is>
          <t>补充说明</t>
        </is>
      </c>
      <c r="D125" s="15" t="n"/>
      <c r="E125" s="15" t="n"/>
      <c r="F125" s="15" t="n"/>
    </row>
    <row r="126" ht="24" customHeight="1" s="3">
      <c r="A126" s="16" t="inlineStr">
        <is>
          <t>StartSource 0x00</t>
        </is>
      </c>
      <c r="B126" s="16" t="inlineStr">
        <is>
          <t>appEstablished</t>
        </is>
      </c>
      <c r="C126" s="16" t="inlineStr">
        <is>
          <t>线上建立；重连继续沿用 App 原始开始时间</t>
        </is>
      </c>
      <c r="D126" s="16" t="n"/>
      <c r="E126" s="16" t="n"/>
      <c r="F126" s="16" t="n"/>
    </row>
    <row r="127" ht="24" customHeight="1" s="3">
      <c r="A127" s="17" t="inlineStr">
        <is>
          <t>StartSource 0x01</t>
        </is>
      </c>
      <c r="B127" s="17" t="inlineStr">
        <is>
          <t>deviceOffline</t>
        </is>
      </c>
      <c r="C127" s="17" t="inlineStr">
        <is>
          <t>断连期间设备按键建立；首次同步采用设备开始时间</t>
        </is>
      </c>
      <c r="D127" s="17" t="n"/>
      <c r="E127" s="17" t="n"/>
      <c r="F127" s="17" t="n"/>
    </row>
    <row r="128" ht="24" customHeight="1" s="3">
      <c r="A128" s="16" t="inlineStr">
        <is>
          <t>EndReason 0x00</t>
        </is>
      </c>
      <c r="B128" s="16" t="inlineStr">
        <is>
          <t>none</t>
        </is>
      </c>
      <c r="C128" s="16" t="inlineStr">
        <is>
          <t>活动会话，无结束原因</t>
        </is>
      </c>
      <c r="D128" s="16" t="n"/>
      <c r="E128" s="16" t="n"/>
      <c r="F128" s="16" t="n"/>
    </row>
    <row r="129" ht="24" customHeight="1" s="3">
      <c r="A129" s="17" t="inlineStr">
        <is>
          <t>EndReason 0x01</t>
        </is>
      </c>
      <c r="B129" s="17" t="inlineStr">
        <is>
          <t>complete</t>
        </is>
      </c>
      <c r="C129" s="17" t="inlineStr">
        <is>
          <t>设备短按完成</t>
        </is>
      </c>
      <c r="D129" s="17" t="n"/>
      <c r="E129" s="17" t="n"/>
      <c r="F129" s="17" t="n"/>
    </row>
    <row r="130" ht="24" customHeight="1" s="3">
      <c r="A130" s="16" t="inlineStr">
        <is>
          <t>EndReason 0x02</t>
        </is>
      </c>
      <c r="B130" s="16" t="inlineStr">
        <is>
          <t>skip</t>
        </is>
      </c>
      <c r="C130" s="16" t="inlineStr">
        <is>
          <t>设备长按跳过</t>
        </is>
      </c>
      <c r="D130" s="16" t="n"/>
      <c r="E130" s="16" t="n"/>
      <c r="F130" s="16" t="n"/>
    </row>
    <row r="131" ht="24" customHeight="1" s="3">
      <c r="A131" s="17" t="inlineStr">
        <is>
          <t>EndReason 0x03</t>
        </is>
      </c>
      <c r="B131" s="17" t="inlineStr">
        <is>
          <t>appEnd</t>
        </is>
      </c>
      <c r="C131" s="17" t="inlineStr">
        <is>
          <t>App 已结束或撤挡板</t>
        </is>
      </c>
      <c r="D131" s="17" t="n"/>
      <c r="E131" s="17" t="n"/>
      <c r="F131" s="17" t="n"/>
    </row>
    <row r="132" ht="24" customHeight="1" s="3">
      <c r="A132" s="16" t="inlineStr">
        <is>
          <t>Resolve 0x00</t>
        </is>
      </c>
      <c r="B132" s="16" t="inlineStr">
        <is>
          <t>accepted</t>
        </is>
      </c>
      <c r="C132" s="16" t="inlineStr">
        <is>
          <t>设备状态已接受并成为权威状态</t>
        </is>
      </c>
      <c r="D132" s="16" t="n"/>
      <c r="E132" s="16" t="n"/>
      <c r="F132" s="16" t="n"/>
    </row>
    <row r="133" ht="24" customHeight="1" s="3">
      <c r="A133" s="17" t="inlineStr">
        <is>
          <t>Resolve 0x01</t>
        </is>
      </c>
      <c r="B133" s="17" t="inlineStr">
        <is>
          <t>closed</t>
        </is>
      </c>
      <c r="C133" s="17" t="inlineStr">
        <is>
          <t>结束优先；会话已关闭</t>
        </is>
      </c>
      <c r="D133" s="17" t="n"/>
      <c r="E133" s="17" t="n"/>
      <c r="F133" s="17" t="n"/>
    </row>
    <row r="134" ht="24" customHeight="1" s="3">
      <c r="A134" s="16" t="inlineStr">
        <is>
          <t>Resolve 0x02</t>
        </is>
      </c>
      <c r="B134" s="16" t="inlineStr">
        <is>
          <t>conflictResolved</t>
        </is>
      </c>
      <c r="C134" s="16" t="inlineStr">
        <is>
          <t>不同活动会话已按规则归并</t>
        </is>
      </c>
      <c r="D134" s="16" t="n"/>
      <c r="E134" s="16" t="n"/>
      <c r="F134" s="16" t="n"/>
    </row>
    <row r="135" ht="24" customHeight="1" s="3">
      <c r="A135" s="17" t="inlineStr">
        <is>
          <t>Resolve 0x03</t>
        </is>
      </c>
      <c r="B135" s="17" t="inlineStr">
        <is>
          <t>rejected</t>
        </is>
      </c>
      <c r="C135" s="17" t="inlineStr">
        <is>
          <t>载荷或会话关系非法；设备保留队列</t>
        </is>
      </c>
      <c r="D135" s="17" t="n"/>
      <c r="E135" s="17" t="n"/>
      <c r="F135" s="17" t="n"/>
    </row>
    <row r="136" ht="24" customHeight="1" s="3">
      <c r="A136" s="16" t="inlineStr">
        <is>
          <t>Resolve 0xFF</t>
        </is>
      </c>
      <c r="B136" s="16" t="inlineStr">
        <is>
          <t>internalError</t>
        </is>
      </c>
      <c r="C136" s="16" t="inlineStr">
        <is>
          <t>App 内部错误；设备保留并重试</t>
        </is>
      </c>
      <c r="D136" s="16" t="n"/>
      <c r="E136" s="16" t="n"/>
      <c r="F136" s="16" t="n"/>
    </row>
  </sheetData>
  <mergeCells count="20">
    <mergeCell ref="A118:C118"/>
    <mergeCell ref="A66:F66"/>
    <mergeCell ref="A80:F80"/>
    <mergeCell ref="A37:F37"/>
    <mergeCell ref="A27:F27"/>
    <mergeCell ref="A89:F89"/>
    <mergeCell ref="A74:F74"/>
    <mergeCell ref="A12:F12"/>
    <mergeCell ref="A18:F18"/>
    <mergeCell ref="A55:F55"/>
    <mergeCell ref="A2:F2"/>
    <mergeCell ref="A116:F116"/>
    <mergeCell ref="A4:F4"/>
    <mergeCell ref="A44:F44"/>
    <mergeCell ref="A49:F49"/>
    <mergeCell ref="A107:F107"/>
    <mergeCell ref="A98:F98"/>
    <mergeCell ref="A60:F60"/>
    <mergeCell ref="A1:F1"/>
    <mergeCell ref="A124:C1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2"/>
  <sheetViews>
    <sheetView topLeftCell="A100" workbookViewId="0">
      <selection activeCell="J100" sqref="J100"/>
    </sheetView>
  </sheetViews>
  <sheetFormatPr baseColWidth="8" defaultRowHeight="14.25"/>
  <cols>
    <col width="13.125" customWidth="1" style="3" min="1" max="1"/>
    <col width="23.75" customWidth="1" style="3" min="2" max="2"/>
    <col width="19.375" bestFit="1" customWidth="1" style="3" min="3" max="3"/>
    <col width="36.875" bestFit="1" customWidth="1" style="3" min="4" max="4"/>
    <col width="31.625" bestFit="1" customWidth="1" style="3" min="5" max="5"/>
    <col width="60.5" customWidth="1" style="3" min="6" max="6"/>
    <col width="9" customWidth="1" style="3" min="7" max="16384"/>
  </cols>
  <sheetData>
    <row r="1" ht="25.5" customHeight="1" s="3">
      <c r="A1" s="123" t="inlineStr">
        <is>
          <t>0x25 OfflineSync 双向协议详解 · Ver 1.3.1（含专注裁决 RESULT）</t>
        </is>
      </c>
      <c r="B1" s="153" t="n"/>
      <c r="C1" s="153" t="n"/>
      <c r="D1" s="153" t="n"/>
      <c r="E1" s="153" t="n"/>
      <c r="F1" s="154" t="n"/>
    </row>
    <row r="2" ht="19.5" customHeight="1" s="3">
      <c r="A2" s="155" t="inlineStr">
        <is>
          <t>方向：双向｜多字节整数：Big Endian｜FOCUS_RESOLVE(0x06) 必须以 RESULT(0x81) 应答；专注裁决与数据 COMMIT 分离</t>
        </is>
      </c>
    </row>
    <row r="3"/>
    <row r="4" ht="21" customHeight="1" s="3">
      <c r="A4" s="109" t="inlineStr">
        <is>
          <t>一、命令与 Opcode 总览</t>
        </is>
      </c>
      <c r="B4" s="153" t="n"/>
      <c r="C4" s="153" t="n"/>
      <c r="D4" s="153" t="n"/>
      <c r="E4" s="153" t="n"/>
      <c r="F4" s="154" t="n"/>
    </row>
    <row r="5" ht="21" customHeight="1" s="3">
      <c r="A5" s="4" t="inlineStr">
        <is>
          <t>Type</t>
        </is>
      </c>
      <c r="B5" s="4" t="inlineStr">
        <is>
          <t>Opcode</t>
        </is>
      </c>
      <c r="C5" s="4" t="inlineStr">
        <is>
          <t>名称</t>
        </is>
      </c>
      <c r="D5" s="4" t="inlineStr">
        <is>
          <t>方向</t>
        </is>
      </c>
      <c r="E5" s="4" t="inlineStr">
        <is>
          <t>Payload 长度</t>
        </is>
      </c>
      <c r="F5" s="4" t="inlineStr">
        <is>
          <t>作用</t>
        </is>
      </c>
    </row>
    <row r="6" ht="25.5" customHeight="1" s="3">
      <c r="A6" s="5">
        <f>"0x25"</f>
        <v/>
      </c>
      <c r="B6" s="5">
        <f>"0x01"</f>
        <v/>
      </c>
      <c r="C6" s="5" t="inlineStr">
        <is>
          <t>BEGIN</t>
        </is>
      </c>
      <c r="D6" s="5" t="inlineStr">
        <is>
          <t>App → 设备</t>
        </is>
      </c>
      <c r="E6" s="5" t="inlineStr">
        <is>
          <t>14</t>
        </is>
      </c>
      <c r="F6" s="5" t="inlineStr">
        <is>
          <t>开始离线数据同步事务</t>
        </is>
      </c>
    </row>
    <row r="7" ht="25.5" customHeight="1" s="3">
      <c r="A7" s="1">
        <f>"0x25"</f>
        <v/>
      </c>
      <c r="B7" s="1">
        <f>"0x02"</f>
        <v/>
      </c>
      <c r="C7" s="1" t="inlineStr">
        <is>
          <t>COMMIT</t>
        </is>
      </c>
      <c r="D7" s="1" t="inlineStr">
        <is>
          <t>App → 设备</t>
        </is>
      </c>
      <c r="E7" s="1" t="inlineStr">
        <is>
          <t>5</t>
        </is>
      </c>
      <c r="F7" s="1" t="inlineStr">
        <is>
          <t>原子启用已暂存的数据</t>
        </is>
      </c>
    </row>
    <row r="8" ht="25.5" customHeight="1" s="3">
      <c r="A8" s="5">
        <f>"0x25"</f>
        <v/>
      </c>
      <c r="B8" s="5">
        <f>"0x03"</f>
        <v/>
      </c>
      <c r="C8" s="5" t="inlineStr">
        <is>
          <t>ABORT</t>
        </is>
      </c>
      <c r="D8" s="5" t="inlineStr">
        <is>
          <t>App → 设备</t>
        </is>
      </c>
      <c r="E8" s="5" t="inlineStr">
        <is>
          <t>5</t>
        </is>
      </c>
      <c r="F8" s="5" t="inlineStr">
        <is>
          <t>放弃当前暂存数据</t>
        </is>
      </c>
    </row>
    <row r="9" ht="25.5" customHeight="1" s="3">
      <c r="A9" s="1">
        <f>"0x25"</f>
        <v/>
      </c>
      <c r="B9" s="1">
        <f>"0x04"</f>
        <v/>
      </c>
      <c r="C9" s="1" t="inlineStr">
        <is>
          <t>QUERY</t>
        </is>
      </c>
      <c r="D9" s="1" t="inlineStr">
        <is>
          <t>App → 设备</t>
        </is>
      </c>
      <c r="E9" s="1" t="inlineStr">
        <is>
          <t>1</t>
        </is>
      </c>
      <c r="F9" s="1" t="inlineStr">
        <is>
          <t>查询设备同步状态</t>
        </is>
      </c>
    </row>
    <row r="10" ht="25.5" customHeight="1" s="3">
      <c r="A10" s="5">
        <f>"0x25"</f>
        <v/>
      </c>
      <c r="B10" s="5">
        <f>"0x05"</f>
        <v/>
      </c>
      <c r="C10" s="5" t="inlineStr">
        <is>
          <t>OP_ACK</t>
        </is>
      </c>
      <c r="D10" s="5" t="inlineStr">
        <is>
          <t>App → 设备</t>
        </is>
      </c>
      <c r="E10" s="5" t="inlineStr">
        <is>
          <t>9</t>
        </is>
      </c>
      <c r="F10" s="5" t="inlineStr">
        <is>
          <t>确认离线操作已连续处理完成</t>
        </is>
      </c>
    </row>
    <row r="11" ht="25.5" customHeight="1" s="3">
      <c r="A11" s="1">
        <f>"0x25"</f>
        <v/>
      </c>
      <c r="B11" s="1">
        <f>"0x80"</f>
        <v/>
      </c>
      <c r="C11" s="1" t="inlineStr">
        <is>
          <t>STATE</t>
        </is>
      </c>
      <c r="D11" s="1" t="inlineStr">
        <is>
          <t>设备 → App</t>
        </is>
      </c>
      <c r="E11" s="1" t="inlineStr">
        <is>
          <t>20</t>
        </is>
      </c>
      <c r="F11" s="1" t="inlineStr">
        <is>
          <t>返回当前数据、事务和操作队列状态</t>
        </is>
      </c>
    </row>
    <row r="12" ht="25.5" customHeight="1" s="3">
      <c r="A12" s="130">
        <f>"0x25"</f>
        <v/>
      </c>
      <c r="B12" s="130">
        <f>"0x81"</f>
        <v/>
      </c>
      <c r="C12" s="130" t="inlineStr">
        <is>
          <t>RESULT</t>
        </is>
      </c>
      <c r="D12" s="67" t="inlineStr">
        <is>
          <t>设备 → App</t>
        </is>
      </c>
      <c r="E12" s="67" t="inlineStr">
        <is>
          <t>7</t>
        </is>
      </c>
      <c r="F12" s="131" t="inlineStr">
        <is>
          <t>返回同步处理结果；包含 FOCUS_RESOLVE 应答</t>
        </is>
      </c>
    </row>
    <row r="13" ht="25.5" customHeight="1" s="3">
      <c r="A13" s="7">
        <f>"0x25"</f>
        <v/>
      </c>
      <c r="B13" s="7">
        <f>"0x82"</f>
        <v/>
      </c>
      <c r="C13" s="7" t="inlineStr">
        <is>
          <t>OP_BATCH</t>
        </is>
      </c>
      <c r="D13" s="7" t="inlineStr">
        <is>
          <t>设备 → App</t>
        </is>
      </c>
      <c r="E13" s="7" t="inlineStr">
        <is>
          <t>6 + Records[]</t>
        </is>
      </c>
      <c r="F13" s="7" t="inlineStr">
        <is>
          <t>批量补报离线操作</t>
        </is>
      </c>
    </row>
    <row r="14" ht="22.5" customHeight="1" s="3">
      <c r="A14" s="62" t="inlineStr">
        <is>
          <t>0x25</t>
        </is>
      </c>
      <c r="B14" s="63" t="inlineStr">
        <is>
          <t>0x06</t>
        </is>
      </c>
      <c r="C14" s="64" t="inlineStr">
        <is>
          <t>FOCUS_RESOLVE</t>
        </is>
      </c>
      <c r="D14" s="64" t="inlineStr">
        <is>
          <t>App → 设备</t>
        </is>
      </c>
      <c r="E14" s="64" t="inlineStr">
        <is>
          <t>33</t>
        </is>
      </c>
      <c r="F14" s="64" t="inlineStr">
        <is>
          <t>确认专注操作处理完成并下发权威裁决</t>
        </is>
      </c>
    </row>
    <row r="15" ht="27" customHeight="1" s="3">
      <c r="A15" s="65" t="inlineStr">
        <is>
          <t>0x25</t>
        </is>
      </c>
      <c r="B15" s="65" t="inlineStr">
        <is>
          <t>0x83</t>
        </is>
      </c>
      <c r="C15" s="65" t="inlineStr">
        <is>
          <t>FOCUS_STATE</t>
        </is>
      </c>
      <c r="D15" s="65" t="inlineStr">
        <is>
          <t>设备 → App</t>
        </is>
      </c>
      <c r="E15" s="65" t="inlineStr">
        <is>
          <t>37+N</t>
        </is>
      </c>
      <c r="F15" s="65" t="inlineStr">
        <is>
          <t>重连时上报当前专注快照；早于普通 FocusStatus</t>
        </is>
      </c>
    </row>
    <row r="16">
      <c r="A16" s="60" t="n"/>
      <c r="B16" s="60" t="n"/>
      <c r="C16" s="61" t="n"/>
      <c r="D16" s="61" t="n"/>
      <c r="E16" s="61" t="n"/>
      <c r="F16" s="61" t="n"/>
    </row>
    <row r="17" ht="21" customHeight="1" s="3">
      <c r="A17" s="110" t="inlineStr">
        <is>
          <t>二、BEGIN（Opcode 0x01）</t>
        </is>
      </c>
      <c r="B17" s="156" t="n"/>
      <c r="C17" s="156" t="n"/>
      <c r="D17" s="156" t="n"/>
      <c r="E17" s="156" t="n"/>
      <c r="F17" s="157" t="n"/>
    </row>
    <row r="18" ht="19.5" customHeight="1" s="3">
      <c r="A18" s="158" t="inlineStr">
        <is>
          <t>App → 设备｜简单包｜用于声明同步事务、版本、有效期和本次数据集范围</t>
        </is>
      </c>
    </row>
    <row r="19" ht="21" customHeight="1" s="3">
      <c r="A19" s="4" t="inlineStr">
        <is>
          <t>偏移(字节)</t>
        </is>
      </c>
      <c r="B19" s="4" t="inlineStr">
        <is>
          <t>字段</t>
        </is>
      </c>
      <c r="C19" s="4" t="inlineStr">
        <is>
          <t>大小(字节)</t>
        </is>
      </c>
      <c r="D19" s="4" t="inlineStr">
        <is>
          <t>上限/取值</t>
        </is>
      </c>
      <c r="E19" s="4" t="inlineStr">
        <is>
          <t>说明</t>
        </is>
      </c>
      <c r="F19" s="4" t="inlineStr">
        <is>
          <t>备注</t>
        </is>
      </c>
    </row>
    <row r="20" ht="28.5" customHeight="1" s="3">
      <c r="A20" s="5" t="inlineStr">
        <is>
          <t>0</t>
        </is>
      </c>
      <c r="B20" s="5" t="inlineStr">
        <is>
          <t>Opcode</t>
        </is>
      </c>
      <c r="C20" s="5" t="inlineStr">
        <is>
          <t>1</t>
        </is>
      </c>
      <c r="D20" s="5" t="inlineStr">
        <is>
          <t>固定 0x01</t>
        </is>
      </c>
      <c r="E20" s="5" t="inlineStr">
        <is>
          <t>BEGIN</t>
        </is>
      </c>
      <c r="F20" s="5" t="inlineStr">
        <is>
          <t>首字节</t>
        </is>
      </c>
    </row>
    <row r="21" ht="28.5" customHeight="1" s="3">
      <c r="A21" s="1" t="inlineStr">
        <is>
          <t>1..4</t>
        </is>
      </c>
      <c r="B21" s="1" t="inlineStr">
        <is>
          <t>SyncId</t>
        </is>
      </c>
      <c r="C21" s="1" t="inlineStr">
        <is>
          <t>4</t>
        </is>
      </c>
      <c r="D21" s="1" t="inlineStr">
        <is>
          <t>UInt32 BE，非零</t>
        </is>
      </c>
      <c r="E21" s="1" t="inlineStr">
        <is>
          <t>本次同步事务 ID</t>
        </is>
      </c>
      <c r="F21" s="1" t="inlineStr">
        <is>
          <t>COMMIT / ABORT / RESULT 必须对应</t>
        </is>
      </c>
    </row>
    <row r="22" ht="28.5" customHeight="1" s="3">
      <c r="A22" s="5" t="inlineStr">
        <is>
          <t>5..8</t>
        </is>
      </c>
      <c r="B22" s="5" t="inlineStr">
        <is>
          <t>Revision</t>
        </is>
      </c>
      <c r="C22" s="5" t="inlineStr">
        <is>
          <t>4</t>
        </is>
      </c>
      <c r="D22" s="5" t="inlineStr">
        <is>
          <t>UInt32 BE</t>
        </is>
      </c>
      <c r="E22" s="5" t="inlineStr">
        <is>
          <t>本次完整数据版本</t>
        </is>
      </c>
      <c r="F22" s="5" t="inlineStr">
        <is>
          <t>提交后成为 ActiveRevision</t>
        </is>
      </c>
    </row>
    <row r="23" ht="28.5" customHeight="1" s="3">
      <c r="A23" s="1" t="inlineStr">
        <is>
          <t>9..12</t>
        </is>
      </c>
      <c r="B23" s="1" t="inlineStr">
        <is>
          <t>ValidUntil</t>
        </is>
      </c>
      <c r="C23" s="1" t="inlineStr">
        <is>
          <t>4</t>
        </is>
      </c>
      <c r="D23" s="1" t="inlineStr">
        <is>
          <t>Unix Timestamp，UInt32 BE</t>
        </is>
      </c>
      <c r="E23" s="1" t="inlineStr">
        <is>
          <t>数据有效期截止时间</t>
        </is>
      </c>
      <c r="F23" s="1" t="inlineStr">
        <is>
          <t>过期后停止触发新业务动作</t>
        </is>
      </c>
    </row>
    <row r="24" ht="28.5" customHeight="1" s="3">
      <c r="A24" s="5" t="inlineStr">
        <is>
          <t>13</t>
        </is>
      </c>
      <c r="B24" s="5" t="inlineStr">
        <is>
          <t>DatasetMask</t>
        </is>
      </c>
      <c r="C24" s="5" t="inlineStr">
        <is>
          <t>1</t>
        </is>
      </c>
      <c r="D24" s="5" t="inlineStr">
        <is>
          <t>bit0..bit2</t>
        </is>
      </c>
      <c r="E24" s="5" t="inlineStr">
        <is>
          <t>本次包含的数据集合</t>
        </is>
      </c>
      <c r="F24" s="127" t="inlineStr">
        <is>
          <t xml:space="preserve">bit0(0x01)：TaskList \ bit1(0x02)：Schedule \ bit2(0x04)：DayPack
其他位必须为 0 </t>
        </is>
      </c>
    </row>
    <row r="25" ht="21" customHeight="1" s="3">
      <c r="A25" s="6" t="inlineStr">
        <is>
          <t>Payload 总长</t>
        </is>
      </c>
      <c r="B25" s="6" t="inlineStr">
        <is>
          <t>14</t>
        </is>
      </c>
      <c r="C25" s="6" t="inlineStr">
        <is>
          <t>完整帧长</t>
        </is>
      </c>
      <c r="D25" s="6" t="inlineStr">
        <is>
          <t>17</t>
        </is>
      </c>
      <c r="E25" s="6" t="inlineStr">
        <is>
          <t>传输</t>
        </is>
      </c>
      <c r="F25" s="6" t="inlineStr">
        <is>
          <t>简单包：Type(1B)+Length(2B)+Payload</t>
        </is>
      </c>
    </row>
    <row r="26"/>
    <row r="27" ht="21" customHeight="1" s="3">
      <c r="A27" s="109" t="inlineStr">
        <is>
          <t>三、COMMIT / ABORT（Opcode 0x02 / 0x03）</t>
        </is>
      </c>
      <c r="B27" s="153" t="n"/>
      <c r="C27" s="153" t="n"/>
      <c r="D27" s="153" t="n"/>
      <c r="E27" s="153" t="n"/>
      <c r="F27" s="154" t="n"/>
    </row>
    <row r="28" ht="19.5" customHeight="1" s="3">
      <c r="A28" s="158" t="inlineStr">
        <is>
          <t>App → 设备｜简单包｜COMMIT 原子切换数据；ABORT 放弃当前暂存数据</t>
        </is>
      </c>
    </row>
    <row r="29" ht="21" customHeight="1" s="3">
      <c r="A29" s="4" t="inlineStr">
        <is>
          <t>偏移(字节)</t>
        </is>
      </c>
      <c r="B29" s="4" t="inlineStr">
        <is>
          <t>字段</t>
        </is>
      </c>
      <c r="C29" s="4" t="inlineStr">
        <is>
          <t>大小(字节)</t>
        </is>
      </c>
      <c r="D29" s="4" t="inlineStr">
        <is>
          <t>上限/取值</t>
        </is>
      </c>
      <c r="E29" s="4" t="inlineStr">
        <is>
          <t>说明</t>
        </is>
      </c>
      <c r="F29" s="4" t="inlineStr">
        <is>
          <t>备注</t>
        </is>
      </c>
    </row>
    <row r="30" ht="27" customHeight="1" s="3">
      <c r="A30" s="5" t="inlineStr">
        <is>
          <t>0</t>
        </is>
      </c>
      <c r="B30" s="5" t="inlineStr">
        <is>
          <t>Opcode</t>
        </is>
      </c>
      <c r="C30" s="5" t="inlineStr">
        <is>
          <t>1</t>
        </is>
      </c>
      <c r="D30" s="5" t="inlineStr">
        <is>
          <t>0x02 / 0x03</t>
        </is>
      </c>
      <c r="E30" s="5" t="inlineStr">
        <is>
          <t>COMMIT / ABORT</t>
        </is>
      </c>
      <c r="F30" s="5" t="inlineStr">
        <is>
          <t>首字节</t>
        </is>
      </c>
    </row>
    <row r="31" ht="27" customHeight="1" s="3">
      <c r="A31" s="1" t="inlineStr">
        <is>
          <t>1..4</t>
        </is>
      </c>
      <c r="B31" s="1" t="inlineStr">
        <is>
          <t>SyncId</t>
        </is>
      </c>
      <c r="C31" s="1" t="inlineStr">
        <is>
          <t>4</t>
        </is>
      </c>
      <c r="D31" s="1" t="inlineStr">
        <is>
          <t>UInt32 BE</t>
        </is>
      </c>
      <c r="E31" s="1" t="inlineStr">
        <is>
          <t>目标同步事务 ID</t>
        </is>
      </c>
      <c r="F31" s="1" t="inlineStr">
        <is>
          <t>不匹配时不得提交</t>
        </is>
      </c>
    </row>
    <row r="32" ht="21" customHeight="1" s="3">
      <c r="A32" s="6" t="inlineStr">
        <is>
          <t>Payload 总长</t>
        </is>
      </c>
      <c r="B32" s="6" t="inlineStr">
        <is>
          <t>5</t>
        </is>
      </c>
      <c r="C32" s="6" t="inlineStr">
        <is>
          <t>完整帧长</t>
        </is>
      </c>
      <c r="D32" s="6" t="inlineStr">
        <is>
          <t>8</t>
        </is>
      </c>
      <c r="E32" s="6" t="inlineStr">
        <is>
          <t>传输</t>
        </is>
      </c>
      <c r="F32" s="6" t="inlineStr">
        <is>
          <t>简单包：Type(1B)+Length(2B)+Payload</t>
        </is>
      </c>
    </row>
    <row r="33"/>
    <row r="34" ht="21" customHeight="1" s="3">
      <c r="A34" s="109" t="inlineStr">
        <is>
          <t>四、QUERY（Opcode 0x04）</t>
        </is>
      </c>
      <c r="B34" s="153" t="n"/>
      <c r="C34" s="153" t="n"/>
      <c r="D34" s="153" t="n"/>
      <c r="E34" s="153" t="n"/>
      <c r="F34" s="154" t="n"/>
    </row>
    <row r="35" ht="19.5" customHeight="1" s="3">
      <c r="A35" s="158" t="inlineStr">
        <is>
          <t>App → 设备｜简单包｜查询当前离线数据、事务与待补报操作状态</t>
        </is>
      </c>
    </row>
    <row r="36" ht="21" customHeight="1" s="3">
      <c r="A36" s="4" t="inlineStr">
        <is>
          <t>偏移(字节)</t>
        </is>
      </c>
      <c r="B36" s="4" t="inlineStr">
        <is>
          <t>字段</t>
        </is>
      </c>
      <c r="C36" s="4" t="inlineStr">
        <is>
          <t>大小(字节)</t>
        </is>
      </c>
      <c r="D36" s="4" t="inlineStr">
        <is>
          <t>上限/取值</t>
        </is>
      </c>
      <c r="E36" s="4" t="inlineStr">
        <is>
          <t>说明</t>
        </is>
      </c>
      <c r="F36" s="4" t="inlineStr">
        <is>
          <t>备注</t>
        </is>
      </c>
    </row>
    <row r="37" ht="24" customHeight="1" s="3">
      <c r="A37" s="5" t="inlineStr">
        <is>
          <t>0</t>
        </is>
      </c>
      <c r="B37" s="5" t="inlineStr">
        <is>
          <t>Opcode</t>
        </is>
      </c>
      <c r="C37" s="5" t="inlineStr">
        <is>
          <t>1</t>
        </is>
      </c>
      <c r="D37" s="5" t="inlineStr">
        <is>
          <t>固定 0x04</t>
        </is>
      </c>
      <c r="E37" s="5" t="inlineStr">
        <is>
          <t>QUERY</t>
        </is>
      </c>
      <c r="F37" s="5" t="inlineStr">
        <is>
          <t>无其他字段</t>
        </is>
      </c>
    </row>
    <row r="38" ht="21" customHeight="1" s="3">
      <c r="A38" s="6" t="inlineStr">
        <is>
          <t>Payload 总长</t>
        </is>
      </c>
      <c r="B38" s="6" t="inlineStr">
        <is>
          <t>1</t>
        </is>
      </c>
      <c r="C38" s="6" t="inlineStr">
        <is>
          <t>完整帧长</t>
        </is>
      </c>
      <c r="D38" s="6" t="inlineStr">
        <is>
          <t>4</t>
        </is>
      </c>
      <c r="E38" s="6" t="inlineStr">
        <is>
          <t>传输</t>
        </is>
      </c>
      <c r="F38" s="6" t="inlineStr">
        <is>
          <t>简单包：Type(1B)+Length(2B)+Payload</t>
        </is>
      </c>
    </row>
    <row r="39"/>
    <row r="40" ht="21" customHeight="1" s="3">
      <c r="A40" s="109" t="inlineStr">
        <is>
          <t>五、OP_ACK（Opcode 0x05）</t>
        </is>
      </c>
      <c r="B40" s="153" t="n"/>
      <c r="C40" s="153" t="n"/>
      <c r="D40" s="153" t="n"/>
      <c r="E40" s="153" t="n"/>
      <c r="F40" s="154" t="n"/>
    </row>
    <row r="41" ht="19.5" customHeight="1" s="3">
      <c r="A41" s="158" t="inlineStr">
        <is>
          <t>App → 设备｜简单包｜仅确认已连续成功处理到的最大 OperationID</t>
        </is>
      </c>
    </row>
    <row r="42" ht="21" customHeight="1" s="3">
      <c r="A42" s="4" t="inlineStr">
        <is>
          <t>偏移(字节)</t>
        </is>
      </c>
      <c r="B42" s="4" t="inlineStr">
        <is>
          <t>字段</t>
        </is>
      </c>
      <c r="C42" s="4" t="inlineStr">
        <is>
          <t>大小(字节)</t>
        </is>
      </c>
      <c r="D42" s="4" t="inlineStr">
        <is>
          <t>上限/取值</t>
        </is>
      </c>
      <c r="E42" s="4" t="inlineStr">
        <is>
          <t>说明</t>
        </is>
      </c>
      <c r="F42" s="4" t="inlineStr">
        <is>
          <t>备注</t>
        </is>
      </c>
    </row>
    <row r="43" ht="30" customHeight="1" s="3">
      <c r="A43" s="5" t="inlineStr">
        <is>
          <t>0</t>
        </is>
      </c>
      <c r="B43" s="5" t="inlineStr">
        <is>
          <t>Opcode</t>
        </is>
      </c>
      <c r="C43" s="5" t="inlineStr">
        <is>
          <t>1</t>
        </is>
      </c>
      <c r="D43" s="5" t="inlineStr">
        <is>
          <t>固定 0x05</t>
        </is>
      </c>
      <c r="E43" s="5" t="inlineStr">
        <is>
          <t>OP_ACK</t>
        </is>
      </c>
      <c r="F43" s="5" t="inlineStr">
        <is>
          <t>首字节</t>
        </is>
      </c>
    </row>
    <row r="44" ht="30" customHeight="1" s="3">
      <c r="A44" s="1" t="inlineStr">
        <is>
          <t>1..4</t>
        </is>
      </c>
      <c r="B44" s="1" t="inlineStr">
        <is>
          <t>BootSessionId</t>
        </is>
      </c>
      <c r="C44" s="1" t="inlineStr">
        <is>
          <t>4</t>
        </is>
      </c>
      <c r="D44" s="1" t="inlineStr">
        <is>
          <t>UInt32 BE</t>
        </is>
      </c>
      <c r="E44" s="1" t="inlineStr">
        <is>
          <t>设备启动会话 ID</t>
        </is>
      </c>
      <c r="F44" s="1" t="inlineStr">
        <is>
          <t>必须匹配 OP_BATCH</t>
        </is>
      </c>
    </row>
    <row r="45" ht="30" customHeight="1" s="3">
      <c r="A45" s="5" t="inlineStr">
        <is>
          <t>5..8</t>
        </is>
      </c>
      <c r="B45" s="5" t="inlineStr">
        <is>
          <t>AckOperationID</t>
        </is>
      </c>
      <c r="C45" s="5" t="inlineStr">
        <is>
          <t>4</t>
        </is>
      </c>
      <c r="D45" s="5" t="inlineStr">
        <is>
          <t>UInt32 BE</t>
        </is>
      </c>
      <c r="E45" s="5" t="inlineStr">
        <is>
          <t>连续成功处理到的最大 OperationID</t>
        </is>
      </c>
      <c r="F45" s="5" t="inlineStr">
        <is>
          <t>设备据此删除已确认记录</t>
        </is>
      </c>
    </row>
    <row r="46" ht="21" customHeight="1" s="3">
      <c r="A46" s="6" t="inlineStr">
        <is>
          <t>Payload 总长</t>
        </is>
      </c>
      <c r="B46" s="6" t="inlineStr">
        <is>
          <t>9</t>
        </is>
      </c>
      <c r="C46" s="6" t="inlineStr">
        <is>
          <t>完整帧长</t>
        </is>
      </c>
      <c r="D46" s="6" t="inlineStr">
        <is>
          <t>12</t>
        </is>
      </c>
      <c r="E46" s="6" t="inlineStr">
        <is>
          <t>传输</t>
        </is>
      </c>
      <c r="F46" s="6" t="inlineStr">
        <is>
          <t>简单包：Type(1B)+Length(2B)+Payload</t>
        </is>
      </c>
    </row>
    <row r="47"/>
    <row r="48" ht="21" customHeight="1" s="3">
      <c r="A48" s="109" t="inlineStr">
        <is>
          <t>六、STATE（Opcode 0x80）</t>
        </is>
      </c>
      <c r="B48" s="153" t="n"/>
      <c r="C48" s="153" t="n"/>
      <c r="D48" s="153" t="n"/>
      <c r="E48" s="153" t="n"/>
      <c r="F48" s="154" t="n"/>
    </row>
    <row r="49" ht="19.5" customHeight="1" s="3">
      <c r="A49" s="158" t="inlineStr">
        <is>
          <t>设备 → App｜简单事件包｜返回当前有效数据、事务、待补报队列和启动会话</t>
        </is>
      </c>
    </row>
    <row r="50" ht="21" customHeight="1" s="3">
      <c r="A50" s="4" t="inlineStr">
        <is>
          <t>偏移(字节)</t>
        </is>
      </c>
      <c r="B50" s="4" t="inlineStr">
        <is>
          <t>字段</t>
        </is>
      </c>
      <c r="C50" s="4" t="inlineStr">
        <is>
          <t>大小(字节)</t>
        </is>
      </c>
      <c r="D50" s="4" t="inlineStr">
        <is>
          <t>上限/取值</t>
        </is>
      </c>
      <c r="E50" s="4" t="inlineStr">
        <is>
          <t>说明</t>
        </is>
      </c>
      <c r="F50" s="4" t="inlineStr">
        <is>
          <t>备注</t>
        </is>
      </c>
    </row>
    <row r="51" ht="30" customHeight="1" s="3">
      <c r="A51" s="5" t="inlineStr">
        <is>
          <t>0</t>
        </is>
      </c>
      <c r="B51" s="5" t="inlineStr">
        <is>
          <t>Opcode</t>
        </is>
      </c>
      <c r="C51" s="5" t="inlineStr">
        <is>
          <t>1</t>
        </is>
      </c>
      <c r="D51" s="5" t="inlineStr">
        <is>
          <t>固定 0x80</t>
        </is>
      </c>
      <c r="E51" s="5" t="inlineStr">
        <is>
          <t>STATE</t>
        </is>
      </c>
      <c r="F51" s="5" t="inlineStr">
        <is>
          <t>首字节</t>
        </is>
      </c>
    </row>
    <row r="52" ht="30" customHeight="1" s="3">
      <c r="A52" s="1" t="inlineStr">
        <is>
          <t>1..4</t>
        </is>
      </c>
      <c r="B52" s="1" t="inlineStr">
        <is>
          <t>ActiveRevision</t>
        </is>
      </c>
      <c r="C52" s="1" t="inlineStr">
        <is>
          <t>4</t>
        </is>
      </c>
      <c r="D52" s="1" t="inlineStr">
        <is>
          <t>UInt32 BE</t>
        </is>
      </c>
      <c r="E52" s="1" t="inlineStr">
        <is>
          <t>当前有效数据版本</t>
        </is>
      </c>
      <c r="F52" s="1" t="inlineStr">
        <is>
          <t>无有效数据时按实现约定返回 0</t>
        </is>
      </c>
    </row>
    <row r="53" ht="30" customHeight="1" s="3">
      <c r="A53" s="5" t="inlineStr">
        <is>
          <t>5..8</t>
        </is>
      </c>
      <c r="B53" s="5" t="inlineStr">
        <is>
          <t>ValidUntil</t>
        </is>
      </c>
      <c r="C53" s="5" t="inlineStr">
        <is>
          <t>4</t>
        </is>
      </c>
      <c r="D53" s="5" t="inlineStr">
        <is>
          <t>Unix Timestamp，UInt32 BE</t>
        </is>
      </c>
      <c r="E53" s="5" t="inlineStr">
        <is>
          <t>当前数据有效期</t>
        </is>
      </c>
      <c r="F53" s="5" t="inlineStr">
        <is>
          <t>到期需请求刷新</t>
        </is>
      </c>
    </row>
    <row r="54" ht="30" customHeight="1" s="3">
      <c r="A54" s="1" t="inlineStr">
        <is>
          <t>9</t>
        </is>
      </c>
      <c r="B54" s="1" t="inlineStr">
        <is>
          <t>DatasetMask</t>
        </is>
      </c>
      <c r="C54" s="1" t="inlineStr">
        <is>
          <t>1</t>
        </is>
      </c>
      <c r="D54" s="1" t="inlineStr">
        <is>
          <t>bit0..bit2</t>
        </is>
      </c>
      <c r="E54" s="1" t="inlineStr">
        <is>
          <t>当前有效数据集合</t>
        </is>
      </c>
      <c r="F54" s="1" t="inlineStr">
        <is>
          <t>其他位必须为 0</t>
        </is>
      </c>
    </row>
    <row r="55" ht="30" customHeight="1" s="3">
      <c r="A55" s="5" t="inlineStr">
        <is>
          <t>10</t>
        </is>
      </c>
      <c r="B55" s="5" t="inlineStr">
        <is>
          <t>StateFlags</t>
        </is>
      </c>
      <c r="C55" s="5" t="inlineStr">
        <is>
          <t>1</t>
        </is>
      </c>
      <c r="D55" s="5" t="inlineStr">
        <is>
          <t>bit0..bit4</t>
        </is>
      </c>
      <c r="E55" s="5" t="inlineStr">
        <is>
          <t>状态标志</t>
        </is>
      </c>
      <c r="F55" s="5" t="inlineStr">
        <is>
          <t>其他位保留</t>
        </is>
      </c>
    </row>
    <row r="56" ht="30" customHeight="1" s="3">
      <c r="A56" s="21" t="inlineStr">
        <is>
          <t>11</t>
        </is>
      </c>
      <c r="B56" s="21" t="inlineStr">
        <is>
          <t>PendingCount</t>
        </is>
      </c>
      <c r="C56" s="21" t="inlineStr">
        <is>
          <t>1</t>
        </is>
      </c>
      <c r="D56" s="21" t="inlineStr">
        <is>
          <t>0..255</t>
        </is>
      </c>
      <c r="E56" s="21" t="inlineStr">
        <is>
          <t>待补报离线操作数量（含 FocusStart / Complete / Skip）</t>
        </is>
      </c>
      <c r="F56" s="21" t="inlineStr">
        <is>
          <t>建议队列上限 64 条</t>
        </is>
      </c>
    </row>
    <row r="57" ht="30" customHeight="1" s="3">
      <c r="A57" s="5" t="inlineStr">
        <is>
          <t>12..15</t>
        </is>
      </c>
      <c r="B57" s="5" t="inlineStr">
        <is>
          <t>BootSessionId</t>
        </is>
      </c>
      <c r="C57" s="5" t="inlineStr">
        <is>
          <t>4</t>
        </is>
      </c>
      <c r="D57" s="5" t="inlineStr">
        <is>
          <t>UInt32 BE</t>
        </is>
      </c>
      <c r="E57" s="5" t="inlineStr">
        <is>
          <t>本次设备启动会话 ID</t>
        </is>
      </c>
      <c r="F57" s="5" t="inlineStr">
        <is>
          <t>与 OperationID 共同构成幂等键</t>
        </is>
      </c>
    </row>
    <row r="58" ht="30" customHeight="1" s="3">
      <c r="A58" s="1" t="inlineStr">
        <is>
          <t>16..19</t>
        </is>
      </c>
      <c r="B58" s="1" t="inlineStr">
        <is>
          <t>CurrentSyncId</t>
        </is>
      </c>
      <c r="C58" s="1" t="inlineStr">
        <is>
          <t>4</t>
        </is>
      </c>
      <c r="D58" s="1" t="inlineStr">
        <is>
          <t>UInt32 BE</t>
        </is>
      </c>
      <c r="E58" s="1" t="inlineStr">
        <is>
          <t>当前事务 ID</t>
        </is>
      </c>
      <c r="F58" s="1" t="inlineStr">
        <is>
          <t>无事务时为 0</t>
        </is>
      </c>
    </row>
    <row r="59" ht="21" customHeight="1" s="3">
      <c r="A59" s="6" t="inlineStr">
        <is>
          <t>Payload 总长</t>
        </is>
      </c>
      <c r="B59" s="6" t="inlineStr">
        <is>
          <t>20</t>
        </is>
      </c>
      <c r="C59" s="6" t="inlineStr">
        <is>
          <t>完整帧长</t>
        </is>
      </c>
      <c r="D59" s="6" t="inlineStr">
        <is>
          <t>22</t>
        </is>
      </c>
      <c r="E59" s="6" t="inlineStr">
        <is>
          <t>传输</t>
        </is>
      </c>
      <c r="F59" s="6" t="inlineStr">
        <is>
          <t>简单事件包：Type(1B)+Length(1B)+Payload</t>
        </is>
      </c>
    </row>
    <row r="60"/>
    <row r="61" ht="21" customHeight="1" s="3">
      <c r="A61" s="109" t="inlineStr">
        <is>
          <t>七、RESULT（Opcode 0x81）</t>
        </is>
      </c>
      <c r="B61" s="153" t="n"/>
      <c r="C61" s="153" t="n"/>
      <c r="D61" s="153" t="n"/>
      <c r="E61" s="153" t="n"/>
      <c r="F61" s="154" t="n"/>
    </row>
    <row r="62" ht="19.5" customHeight="1" s="3">
      <c r="A62" s="158" t="inlineStr">
        <is>
          <t>设备 → App｜简单事件包｜返回目标命令或事务的同步处理结果</t>
        </is>
      </c>
    </row>
    <row r="63" ht="21" customHeight="1" s="3">
      <c r="A63" s="4" t="inlineStr">
        <is>
          <t>偏移(字节)</t>
        </is>
      </c>
      <c r="B63" s="4" t="inlineStr">
        <is>
          <t>字段</t>
        </is>
      </c>
      <c r="C63" s="4" t="inlineStr">
        <is>
          <t>大小(字节)</t>
        </is>
      </c>
      <c r="D63" s="4" t="inlineStr">
        <is>
          <t>上限/取值</t>
        </is>
      </c>
      <c r="E63" s="4" t="inlineStr">
        <is>
          <t>说明</t>
        </is>
      </c>
      <c r="F63" s="4" t="inlineStr">
        <is>
          <t>备注</t>
        </is>
      </c>
    </row>
    <row r="64" ht="31.5" customHeight="1" s="3">
      <c r="A64" s="5" t="inlineStr">
        <is>
          <t>0</t>
        </is>
      </c>
      <c r="B64" s="5" t="inlineStr">
        <is>
          <t>Opcode</t>
        </is>
      </c>
      <c r="C64" s="5" t="inlineStr">
        <is>
          <t>1</t>
        </is>
      </c>
      <c r="D64" s="5" t="inlineStr">
        <is>
          <t>固定 0x81</t>
        </is>
      </c>
      <c r="E64" s="5" t="inlineStr">
        <is>
          <t>RESULT</t>
        </is>
      </c>
      <c r="F64" s="5" t="inlineStr">
        <is>
          <t>首字节</t>
        </is>
      </c>
    </row>
    <row r="65" ht="31.5" customHeight="1" s="3">
      <c r="A65" s="1" t="inlineStr">
        <is>
          <t>1..4</t>
        </is>
      </c>
      <c r="B65" s="1" t="inlineStr">
        <is>
          <t>SyncId</t>
        </is>
      </c>
      <c r="C65" s="1" t="inlineStr">
        <is>
          <t>4</t>
        </is>
      </c>
      <c r="D65" s="1" t="inlineStr">
        <is>
          <t>UInt32 BE</t>
        </is>
      </c>
      <c r="E65" s="1" t="inlineStr">
        <is>
          <t>对应同步事务 ID</t>
        </is>
      </c>
      <c r="F65" s="128" t="inlineStr">
        <is>
          <t>BEGIN 对应事务 SyncId；FOCUS_RESOLVE 对应 ResolveID</t>
        </is>
      </c>
    </row>
    <row r="66" ht="31.5" customHeight="1" s="3">
      <c r="A66" s="5" t="inlineStr">
        <is>
          <t>5</t>
        </is>
      </c>
      <c r="B66" s="5" t="inlineStr">
        <is>
          <t>TargetType</t>
        </is>
      </c>
      <c r="C66" s="5" t="inlineStr">
        <is>
          <t>1</t>
        </is>
      </c>
      <c r="D66" s="5" t="inlineStr">
        <is>
          <t>0x02 / 0x03 / 0x10 / 0x25</t>
        </is>
      </c>
      <c r="E66" s="5" t="inlineStr">
        <is>
          <t>处理目标类型</t>
        </is>
      </c>
      <c r="F66" s="5" t="inlineStr">
        <is>
          <t>原命令或 OfflineSync</t>
        </is>
      </c>
    </row>
    <row r="67" ht="31.5" customHeight="1" s="3">
      <c r="A67" s="1" t="inlineStr">
        <is>
          <t>6</t>
        </is>
      </c>
      <c r="B67" s="1" t="inlineStr">
        <is>
          <t>ResultCode</t>
        </is>
      </c>
      <c r="C67" s="1" t="inlineStr">
        <is>
          <t>1</t>
        </is>
      </c>
      <c r="D67" s="1" t="inlineStr">
        <is>
          <t>见结果码表</t>
        </is>
      </c>
      <c r="E67" s="1" t="inlineStr">
        <is>
          <t>同步处理结果</t>
        </is>
      </c>
      <c r="F67" s="129" t="inlineStr">
        <is>
          <t>FOCUS_RESOLVE 仅匹配 ResolveID 的 COMMITTED 可解锁</t>
        </is>
      </c>
    </row>
    <row r="68" ht="21" customHeight="1" s="3">
      <c r="A68" s="6" t="inlineStr">
        <is>
          <t>Payload 总长</t>
        </is>
      </c>
      <c r="B68" s="6" t="inlineStr">
        <is>
          <t>7</t>
        </is>
      </c>
      <c r="C68" s="6" t="inlineStr">
        <is>
          <t>完整帧长</t>
        </is>
      </c>
      <c r="D68" s="6" t="inlineStr">
        <is>
          <t>9</t>
        </is>
      </c>
      <c r="E68" s="6" t="inlineStr">
        <is>
          <t>传输</t>
        </is>
      </c>
      <c r="F68" s="6" t="inlineStr">
        <is>
          <t>简单事件包：Type(1B)+Length(1B)+Payload</t>
        </is>
      </c>
    </row>
    <row r="69"/>
    <row r="70" ht="21" customHeight="1" s="3">
      <c r="A70" s="109" t="inlineStr">
        <is>
          <t>八、OP_BATCH（Opcode 0x82）与 Record</t>
        </is>
      </c>
      <c r="B70" s="153" t="n"/>
      <c r="C70" s="153" t="n"/>
      <c r="D70" s="153" t="n"/>
      <c r="E70" s="153" t="n"/>
      <c r="F70" s="154" t="n"/>
    </row>
    <row r="71" ht="19.5" customHeight="1" s="3">
      <c r="A71" s="158" t="inlineStr">
        <is>
          <t>设备 → App｜简单事件包｜按 OperationID 顺序批量补报断连期间产生的原事件</t>
        </is>
      </c>
    </row>
    <row r="72" ht="21" customHeight="1" s="3">
      <c r="A72" s="4" t="inlineStr">
        <is>
          <t>偏移(字节)</t>
        </is>
      </c>
      <c r="B72" s="4" t="inlineStr">
        <is>
          <t>字段</t>
        </is>
      </c>
      <c r="C72" s="4" t="inlineStr">
        <is>
          <t>大小(字节)</t>
        </is>
      </c>
      <c r="D72" s="4" t="inlineStr">
        <is>
          <t>上限/取值</t>
        </is>
      </c>
      <c r="E72" s="4" t="inlineStr">
        <is>
          <t>说明</t>
        </is>
      </c>
      <c r="F72" s="4" t="inlineStr">
        <is>
          <t>备注</t>
        </is>
      </c>
    </row>
    <row r="73" ht="30" customHeight="1" s="3">
      <c r="A73" s="5" t="inlineStr">
        <is>
          <t>0</t>
        </is>
      </c>
      <c r="B73" s="5" t="inlineStr">
        <is>
          <t>Opcode</t>
        </is>
      </c>
      <c r="C73" s="5" t="inlineStr">
        <is>
          <t>1</t>
        </is>
      </c>
      <c r="D73" s="5" t="inlineStr">
        <is>
          <t>固定 0x82</t>
        </is>
      </c>
      <c r="E73" s="5" t="inlineStr">
        <is>
          <t>OP_BATCH</t>
        </is>
      </c>
      <c r="F73" s="5" t="inlineStr">
        <is>
          <t>首字节</t>
        </is>
      </c>
    </row>
    <row r="74" ht="30" customHeight="1" s="3">
      <c r="A74" s="1" t="inlineStr">
        <is>
          <t>1..4</t>
        </is>
      </c>
      <c r="B74" s="1" t="inlineStr">
        <is>
          <t>BootSessionId</t>
        </is>
      </c>
      <c r="C74" s="1" t="inlineStr">
        <is>
          <t>4</t>
        </is>
      </c>
      <c r="D74" s="1" t="inlineStr">
        <is>
          <t>UInt32 BE</t>
        </is>
      </c>
      <c r="E74" s="1" t="inlineStr">
        <is>
          <t>设备启动会话 ID</t>
        </is>
      </c>
      <c r="F74" s="1" t="inlineStr">
        <is>
          <t>幂等键组成部分</t>
        </is>
      </c>
    </row>
    <row r="75" ht="30" customHeight="1" s="3">
      <c r="A75" s="5" t="inlineStr">
        <is>
          <t>5</t>
        </is>
      </c>
      <c r="B75" s="5" t="inlineStr">
        <is>
          <t>Count</t>
        </is>
      </c>
      <c r="C75" s="5" t="inlineStr">
        <is>
          <t>1</t>
        </is>
      </c>
      <c r="D75" s="5" t="inlineStr">
        <is>
          <t>0..255</t>
        </is>
      </c>
      <c r="E75" s="5" t="inlineStr">
        <is>
          <t>本批 Record 数量</t>
        </is>
      </c>
      <c r="F75" s="5" t="inlineStr">
        <is>
          <t>接收端必须解析出 Count 条</t>
        </is>
      </c>
    </row>
    <row r="76" ht="30" customHeight="1" s="3">
      <c r="A76" s="1" t="inlineStr">
        <is>
          <t>6..</t>
        </is>
      </c>
      <c r="B76" s="1" t="inlineStr">
        <is>
          <t>Records[]</t>
        </is>
      </c>
      <c r="C76" s="1" t="inlineStr">
        <is>
          <t>变长</t>
        </is>
      </c>
      <c r="D76" s="1" t="inlineStr">
        <is>
          <t>Count 条</t>
        </is>
      </c>
      <c r="E76" s="1" t="inlineStr">
        <is>
          <t>离线操作记录数组</t>
        </is>
      </c>
      <c r="F76" s="1" t="inlineStr">
        <is>
          <t>按 OperationID 递增顺序</t>
        </is>
      </c>
    </row>
    <row r="77" ht="21" customHeight="1" s="3">
      <c r="A77" s="6" t="inlineStr">
        <is>
          <t>Payload 总长</t>
        </is>
      </c>
      <c r="B77" s="6" t="inlineStr">
        <is>
          <t>6 + Σ(6+N)</t>
        </is>
      </c>
      <c r="C77" s="6" t="inlineStr">
        <is>
          <t>完整帧长</t>
        </is>
      </c>
      <c r="D77" s="6" t="inlineStr">
        <is>
          <t>2 + Payload</t>
        </is>
      </c>
      <c r="E77" s="6" t="inlineStr">
        <is>
          <t>传输</t>
        </is>
      </c>
      <c r="F77" s="6" t="inlineStr">
        <is>
          <t>简单事件包；需满足 1B Length 上限</t>
        </is>
      </c>
    </row>
    <row r="78"/>
    <row r="79" ht="21" customHeight="1" s="3">
      <c r="A79" s="4" t="inlineStr">
        <is>
          <t>Record 偏移</t>
        </is>
      </c>
      <c r="B79" s="4" t="inlineStr">
        <is>
          <t>字段</t>
        </is>
      </c>
      <c r="C79" s="4" t="inlineStr">
        <is>
          <t>大小(字节)</t>
        </is>
      </c>
      <c r="D79" s="4" t="inlineStr">
        <is>
          <t>上限/取值</t>
        </is>
      </c>
      <c r="E79" s="4" t="inlineStr">
        <is>
          <t>说明</t>
        </is>
      </c>
      <c r="F79" s="4" t="inlineStr">
        <is>
          <t>备注</t>
        </is>
      </c>
    </row>
    <row r="80" ht="30" customHeight="1" s="3">
      <c r="A80" s="5" t="inlineStr">
        <is>
          <t>0..3</t>
        </is>
      </c>
      <c r="B80" s="5" t="inlineStr">
        <is>
          <t>OperationID</t>
        </is>
      </c>
      <c r="C80" s="5" t="inlineStr">
        <is>
          <t>4</t>
        </is>
      </c>
      <c r="D80" s="5" t="inlineStr">
        <is>
          <t>UInt32 BE，递增</t>
        </is>
      </c>
      <c r="E80" s="5" t="inlineStr">
        <is>
          <t>离线操作 ID</t>
        </is>
      </c>
      <c r="F80" s="5" t="inlineStr">
        <is>
          <t>同一 BootSessionId 内唯一</t>
        </is>
      </c>
    </row>
    <row r="81" ht="30" customHeight="1" s="3">
      <c r="A81" s="21" t="inlineStr">
        <is>
          <t>4</t>
        </is>
      </c>
      <c r="B81" s="21" t="inlineStr">
        <is>
          <t>EventType</t>
        </is>
      </c>
      <c r="C81" s="21" t="inlineStr">
        <is>
          <t>1</t>
        </is>
      </c>
      <c r="D81" s="21" t="inlineStr">
        <is>
          <t>0x10 / 0x11 / 0x12 等原事件 Type；专注操作使用 v2 payload</t>
        </is>
      </c>
      <c r="E81" s="21" t="inlineStr">
        <is>
          <t>原事件类型</t>
        </is>
      </c>
      <c r="F81" s="21" t="inlineStr">
        <is>
          <t>字段定义保持不变</t>
        </is>
      </c>
    </row>
    <row r="82" ht="30" customHeight="1" s="3">
      <c r="A82" s="5" t="inlineStr">
        <is>
          <t>5</t>
        </is>
      </c>
      <c r="B82" s="5" t="inlineStr">
        <is>
          <t>PayloadLen</t>
        </is>
      </c>
      <c r="C82" s="5" t="inlineStr">
        <is>
          <t>1</t>
        </is>
      </c>
      <c r="D82" s="5" t="inlineStr">
        <is>
          <t>0..255</t>
        </is>
      </c>
      <c r="E82" s="5" t="inlineStr">
        <is>
          <t>OriginalPayload 字节数</t>
        </is>
      </c>
      <c r="F82" s="5" t="inlineStr">
        <is>
          <t>必须与剩余字节一致</t>
        </is>
      </c>
    </row>
    <row r="83" ht="30" customHeight="1" s="3">
      <c r="A83" s="21" t="inlineStr">
        <is>
          <t>6..</t>
        </is>
      </c>
      <c r="B83" s="21" t="inlineStr">
        <is>
          <t>OriginalPayload</t>
        </is>
      </c>
      <c r="C83" s="21" t="inlineStr">
        <is>
          <t>N</t>
        </is>
      </c>
      <c r="D83" s="21" t="inlineStr">
        <is>
          <t>原事件 Payload</t>
        </is>
      </c>
      <c r="E83" s="21" t="inlineStr">
        <is>
          <t>原事件载荷</t>
        </is>
      </c>
      <c r="F83" s="21" t="inlineStr">
        <is>
          <t>专注操作字段定义见「专注重连-1.2」页</t>
        </is>
      </c>
    </row>
    <row r="84" ht="21" customHeight="1" s="3">
      <c r="A84" s="6" t="inlineStr">
        <is>
          <t>Record 总长</t>
        </is>
      </c>
      <c r="B84" s="6" t="inlineStr">
        <is>
          <t>6 + N</t>
        </is>
      </c>
      <c r="C84" s="6" t="inlineStr">
        <is>
          <t>幂等键</t>
        </is>
      </c>
      <c r="D84" s="6" t="inlineStr">
        <is>
          <t>DeviceId + BootSessionId + OperationID</t>
        </is>
      </c>
      <c r="E84" s="6" t="inlineStr">
        <is>
          <t>ACK 规则</t>
        </is>
      </c>
      <c r="F84" s="6" t="inlineStr">
        <is>
          <t>仅 ACK 连续处理成功的最大 OperationID</t>
        </is>
      </c>
    </row>
    <row r="85"/>
    <row r="86" ht="21" customHeight="1" s="3">
      <c r="A86" s="109" t="inlineStr">
        <is>
          <t>九、DatasetMask 位定义</t>
        </is>
      </c>
      <c r="B86" s="153" t="n"/>
      <c r="C86" s="153" t="n"/>
      <c r="D86" s="153" t="n"/>
      <c r="E86" s="153" t="n"/>
      <c r="F86" s="154" t="n"/>
    </row>
    <row r="87" ht="21" customHeight="1" s="3">
      <c r="A87" s="4" t="inlineStr">
        <is>
          <t>位</t>
        </is>
      </c>
      <c r="B87" s="4" t="inlineStr">
        <is>
          <t>掩码</t>
        </is>
      </c>
      <c r="C87" s="4" t="inlineStr">
        <is>
          <t>数据集</t>
        </is>
      </c>
      <c r="D87" s="4" t="inlineStr">
        <is>
          <t>对应命令</t>
        </is>
      </c>
      <c r="E87" s="4" t="inlineStr">
        <is>
          <t>作用</t>
        </is>
      </c>
      <c r="F87" s="4" t="inlineStr">
        <is>
          <t>约束</t>
        </is>
      </c>
    </row>
    <row r="88" ht="27" customHeight="1" s="3">
      <c r="A88" s="5" t="inlineStr">
        <is>
          <t>bit0</t>
        </is>
      </c>
      <c r="B88" s="5">
        <f>"0x01"</f>
        <v/>
      </c>
      <c r="C88" s="5" t="inlineStr">
        <is>
          <t>TaskList</t>
        </is>
      </c>
      <c r="D88" s="5">
        <f>"0x02"</f>
        <v/>
      </c>
      <c r="E88" s="5" t="inlineStr">
        <is>
          <t>离线任务执行数据</t>
        </is>
      </c>
      <c r="F88" s="5" t="inlineStr">
        <is>
          <t>以 0x02 为业务准则</t>
        </is>
      </c>
    </row>
    <row r="89" ht="27" customHeight="1" s="3">
      <c r="A89" s="1" t="inlineStr">
        <is>
          <t>bit1</t>
        </is>
      </c>
      <c r="B89" s="1">
        <f>"0x02"</f>
        <v/>
      </c>
      <c r="C89" s="1" t="inlineStr">
        <is>
          <t>Schedule</t>
        </is>
      </c>
      <c r="D89" s="1">
        <f>"0x03"</f>
        <v/>
      </c>
      <c r="E89" s="21" t="inlineStr">
        <is>
          <t>完整独立 Schedule v2 日程快照</t>
        </is>
      </c>
      <c r="F89" s="21" t="inlineStr">
        <is>
          <t>必须使用 Schedule v2；与 DayPack 同批提交时先应用 DayPack、再应用 Schedule，Schedule 对日程可见字段拥有最终优先级</t>
        </is>
      </c>
    </row>
    <row r="90" ht="27" customHeight="1" s="3">
      <c r="A90" s="5" t="inlineStr">
        <is>
          <t>bit2</t>
        </is>
      </c>
      <c r="B90" s="5">
        <f>"0x04"</f>
        <v/>
      </c>
      <c r="C90" s="5" t="inlineStr">
        <is>
          <t>DayPack</t>
        </is>
      </c>
      <c r="D90" s="5">
        <f>"0x10"</f>
        <v/>
      </c>
      <c r="E90" s="5" t="inlineStr">
        <is>
          <t>当天展示与兜底数据</t>
        </is>
      </c>
      <c r="F90" s="5" t="inlineStr">
        <is>
          <t>仅在掩码包含时下发</t>
        </is>
      </c>
    </row>
    <row r="91" ht="27" customHeight="1" s="3">
      <c r="A91" s="1" t="inlineStr">
        <is>
          <t>bit3..bit7</t>
        </is>
      </c>
      <c r="B91" s="1" t="inlineStr">
        <is>
          <t>保留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不得使用</t>
        </is>
      </c>
      <c r="F91" s="1" t="inlineStr">
        <is>
          <t>必须为 0</t>
        </is>
      </c>
    </row>
    <row r="92"/>
    <row r="93" ht="21" customHeight="1" s="3">
      <c r="A93" s="109" t="inlineStr">
        <is>
          <t>十、StateFlags 位定义</t>
        </is>
      </c>
      <c r="B93" s="153" t="n"/>
      <c r="C93" s="153" t="n"/>
      <c r="D93" s="153" t="n"/>
      <c r="E93" s="153" t="n"/>
      <c r="F93" s="154" t="n"/>
    </row>
    <row r="94" ht="21" customHeight="1" s="3">
      <c r="A94" s="4" t="inlineStr">
        <is>
          <t>位</t>
        </is>
      </c>
      <c r="B94" s="4" t="inlineStr">
        <is>
          <t>掩码</t>
        </is>
      </c>
      <c r="C94" s="4" t="inlineStr">
        <is>
          <t>名称</t>
        </is>
      </c>
      <c r="D94" s="4" t="inlineStr">
        <is>
          <t>置 1 含义</t>
        </is>
      </c>
      <c r="E94" s="4" t="inlineStr">
        <is>
          <t>App 行为</t>
        </is>
      </c>
      <c r="F94" s="4" t="inlineStr">
        <is>
          <t>备注</t>
        </is>
      </c>
    </row>
    <row r="95" ht="33" customHeight="1" s="3">
      <c r="A95" s="5" t="inlineStr">
        <is>
          <t>bit0</t>
        </is>
      </c>
      <c r="B95" s="5">
        <f>"0x01"</f>
        <v/>
      </c>
      <c r="C95" s="5" t="inlineStr">
        <is>
          <t>DataValid</t>
        </is>
      </c>
      <c r="D95" s="5" t="inlineStr">
        <is>
          <t>当前离线数据有效</t>
        </is>
      </c>
      <c r="E95" s="5" t="inlineStr">
        <is>
          <t>可按 ValidUntil 使用</t>
        </is>
      </c>
      <c r="F95" s="5" t="inlineStr">
        <is>
          <t>到期后不再触发新业务动作</t>
        </is>
      </c>
    </row>
    <row r="96" ht="33" customHeight="1" s="3">
      <c r="A96" s="7" t="inlineStr">
        <is>
          <t>bit1</t>
        </is>
      </c>
      <c r="B96" s="7">
        <f>"0x02"</f>
        <v/>
      </c>
      <c r="C96" s="7" t="inlineStr">
        <is>
          <t>TransactionOpen</t>
        </is>
      </c>
      <c r="D96" s="7" t="inlineStr">
        <is>
          <t>存在未完成事务</t>
        </is>
      </c>
      <c r="E96" s="7" t="inlineStr">
        <is>
          <t>依据 CurrentSyncId 处理</t>
        </is>
      </c>
      <c r="F96" s="7" t="inlineStr">
        <is>
          <t>断连或异常时可重新完整同步</t>
        </is>
      </c>
    </row>
    <row r="97" ht="33" customHeight="1" s="3">
      <c r="A97" s="8" t="inlineStr">
        <is>
          <t>bit2</t>
        </is>
      </c>
      <c r="B97" s="8">
        <f>"0x04"</f>
        <v/>
      </c>
      <c r="C97" s="8" t="inlineStr">
        <is>
          <t>NeedsFullSync</t>
        </is>
      </c>
      <c r="D97" s="8" t="inlineStr">
        <is>
          <t>需要完整同步</t>
        </is>
      </c>
      <c r="E97" s="8" t="inlineStr">
        <is>
          <t>重新执行 BEGIN→数据集→COMMIT</t>
        </is>
      </c>
      <c r="F97" s="8" t="inlineStr">
        <is>
          <t>复位、掉电或 RAM 丢失后置位</t>
        </is>
      </c>
    </row>
    <row r="98" ht="33" customHeight="1" s="3">
      <c r="A98" s="9" t="inlineStr">
        <is>
          <t>bit3</t>
        </is>
      </c>
      <c r="B98" s="9">
        <f>"0x08"</f>
        <v/>
      </c>
      <c r="C98" s="9" t="inlineStr">
        <is>
          <t>OperationOverflow</t>
        </is>
      </c>
      <c r="D98" s="9" t="inlineStr">
        <is>
          <t>离线操作队列溢出</t>
        </is>
      </c>
      <c r="E98" s="9" t="inlineStr">
        <is>
          <t>优先拉取并进行业务补偿</t>
        </is>
      </c>
      <c r="F98" s="9" t="inlineStr">
        <is>
          <t>建议队列上限 64 条</t>
        </is>
      </c>
    </row>
    <row r="99" ht="33" customHeight="1" s="3">
      <c r="A99" s="8" t="inlineStr">
        <is>
          <t>bit4</t>
        </is>
      </c>
      <c r="B99" s="8" t="inlineStr">
        <is>
          <t>0x10</t>
        </is>
      </c>
      <c r="C99" s="8" t="inlineStr">
        <is>
          <t>FocusSyncPending</t>
        </is>
      </c>
      <c r="D99" s="8" t="inlineStr">
        <is>
          <t>存在未裁决专注快照或操作</t>
        </is>
      </c>
      <c r="E99" s="8" t="inlineStr">
        <is>
          <t>先处理 FOCUS_STATE/OP_BATCH</t>
        </is>
      </c>
      <c r="F99" s="8" t="inlineStr">
        <is>
          <t>裁决完成前不得下发普通 0x14 覆盖设备</t>
        </is>
      </c>
    </row>
    <row r="100" ht="19.5" customHeight="1" s="3">
      <c r="A100" s="22" t="inlineStr">
        <is>
          <t>bit5..bit7</t>
        </is>
      </c>
      <c r="B100" s="22" t="inlineStr">
        <is>
          <t>保留</t>
        </is>
      </c>
      <c r="C100" s="22" t="inlineStr">
        <is>
          <t>-</t>
        </is>
      </c>
      <c r="D100" s="22" t="inlineStr">
        <is>
          <t>保留</t>
        </is>
      </c>
      <c r="E100" s="22" t="inlineStr">
        <is>
          <t>忽略未知保留位</t>
        </is>
      </c>
      <c r="F100" s="22" t="inlineStr">
        <is>
          <t>发送端不得主动置位</t>
        </is>
      </c>
    </row>
    <row r="101" ht="36" customHeight="1" s="3">
      <c r="A101" s="23" t="n"/>
      <c r="B101" s="23" t="n"/>
      <c r="C101" s="23" t="n"/>
      <c r="D101" s="23" t="n"/>
      <c r="E101" s="23" t="n"/>
      <c r="F101" s="23" t="n"/>
    </row>
    <row r="102" ht="21" customHeight="1" s="3">
      <c r="A102" s="109" t="inlineStr">
        <is>
          <t>十一、ResultCode 建议值</t>
        </is>
      </c>
      <c r="B102" s="153" t="n"/>
      <c r="C102" s="153" t="n"/>
      <c r="D102" s="153" t="n"/>
      <c r="E102" s="153" t="n"/>
      <c r="F102" s="154" t="n"/>
    </row>
    <row r="103" ht="21" customHeight="1" s="3">
      <c r="A103" s="4" t="inlineStr">
        <is>
          <t>值</t>
        </is>
      </c>
      <c r="B103" s="4" t="inlineStr">
        <is>
          <t>名称</t>
        </is>
      </c>
      <c r="C103" s="4" t="inlineStr">
        <is>
          <t>含义</t>
        </is>
      </c>
      <c r="D103" s="4" t="inlineStr">
        <is>
          <t>适用阶段</t>
        </is>
      </c>
      <c r="E103" s="4" t="inlineStr">
        <is>
          <t>App 处理</t>
        </is>
      </c>
      <c r="F103" s="4" t="inlineStr">
        <is>
          <t>备注</t>
        </is>
      </c>
    </row>
    <row r="104" ht="33" customHeight="1" s="3">
      <c r="A104" s="5">
        <f>"0x00"</f>
        <v/>
      </c>
      <c r="B104" s="5" t="inlineStr">
        <is>
          <t>ACCEPTED</t>
        </is>
      </c>
      <c r="C104" s="5" t="inlineStr">
        <is>
          <t>已接受请求</t>
        </is>
      </c>
      <c r="D104" s="130" t="inlineStr">
        <is>
          <t>BEGIN / FOCUS_RESOLVE</t>
        </is>
      </c>
      <c r="E104" s="131" t="inlineStr">
        <is>
          <t>BEGIN 继续；FOCUS_RESOLVE 不解锁</t>
        </is>
      </c>
      <c r="F104" s="130" t="inlineStr">
        <is>
          <t>ResolveResult=rejected/internalError 时保持状态与队列</t>
        </is>
      </c>
    </row>
    <row r="105" ht="33" customHeight="1" s="3">
      <c r="A105" s="1">
        <f>"0x01"</f>
        <v/>
      </c>
      <c r="B105" s="1" t="inlineStr">
        <is>
          <t>STAGED</t>
        </is>
      </c>
      <c r="C105" s="1" t="inlineStr">
        <is>
          <t>数据已暂存</t>
        </is>
      </c>
      <c r="D105" s="1" t="inlineStr">
        <is>
          <t>0x02 / 0x03 / 0x10</t>
        </is>
      </c>
      <c r="E105" s="1" t="inlineStr">
        <is>
          <t>等待全部数据后 COMMIT</t>
        </is>
      </c>
      <c r="F105" s="1" t="n"/>
    </row>
    <row r="106" ht="33" customHeight="1" s="3">
      <c r="A106" s="5">
        <f>"0x02"</f>
        <v/>
      </c>
      <c r="B106" s="5" t="inlineStr">
        <is>
          <t>COMMITTED</t>
        </is>
      </c>
      <c r="C106" s="5" t="inlineStr">
        <is>
          <t>事务已原子提交</t>
        </is>
      </c>
      <c r="D106" s="130" t="inlineStr">
        <is>
          <t>COMMIT / FOCUS_RESOLVE</t>
        </is>
      </c>
      <c r="E106" s="130" t="inlineStr">
        <is>
          <t>COMMIT 完成数据事务；FOCUS_RESOLVE 解除专注锁定</t>
        </is>
      </c>
      <c r="F106" s="130" t="inlineStr">
        <is>
          <t>FOCUS_RESOLVE 相同请求幂等重放仍返回 COMMITTED</t>
        </is>
      </c>
    </row>
    <row r="107" ht="33" customHeight="1" s="3">
      <c r="A107" s="1">
        <f>"0x10"</f>
        <v/>
      </c>
      <c r="B107" s="1" t="inlineStr">
        <is>
          <t>INVALID_STATE</t>
        </is>
      </c>
      <c r="C107" s="1" t="inlineStr">
        <is>
          <t>当前状态不允许</t>
        </is>
      </c>
      <c r="D107" s="1" t="inlineStr">
        <is>
          <t>任意</t>
        </is>
      </c>
      <c r="E107" s="1" t="inlineStr">
        <is>
          <t>查询 STATE 后重试或全量同步</t>
        </is>
      </c>
      <c r="F107" s="1" t="n"/>
    </row>
    <row r="108" ht="33" customHeight="1" s="3">
      <c r="A108" s="5">
        <f>"0x11"</f>
        <v/>
      </c>
      <c r="B108" s="5" t="inlineStr">
        <is>
          <t>MISSING_DATASET</t>
        </is>
      </c>
      <c r="C108" s="5" t="inlineStr">
        <is>
          <t>缺少 DatasetMask 指定数据</t>
        </is>
      </c>
      <c r="D108" s="5" t="inlineStr">
        <is>
          <t>COMMIT</t>
        </is>
      </c>
      <c r="E108" s="5" t="inlineStr">
        <is>
          <t>补齐数据或 ABORT 后重开事务</t>
        </is>
      </c>
      <c r="F108" s="5" t="n"/>
    </row>
    <row r="109" ht="33" customHeight="1" s="3">
      <c r="A109" s="1">
        <f>"0x12"</f>
        <v/>
      </c>
      <c r="B109" s="1" t="inlineStr">
        <is>
          <t>EXPIRED</t>
        </is>
      </c>
      <c r="C109" s="1" t="inlineStr">
        <is>
          <t>数据有效期已过</t>
        </is>
      </c>
      <c r="D109" s="1" t="inlineStr">
        <is>
          <t>BEGIN / COMMIT</t>
        </is>
      </c>
      <c r="E109" s="1" t="inlineStr">
        <is>
          <t>使用新 ValidUntil 重建事务</t>
        </is>
      </c>
      <c r="F109" s="1" t="n"/>
    </row>
    <row r="110" ht="33" customHeight="1" s="3">
      <c r="A110" s="5">
        <f>"0x13"</f>
        <v/>
      </c>
      <c r="B110" s="5" t="inlineStr">
        <is>
          <t>INVALID_PAYLOAD</t>
        </is>
      </c>
      <c r="C110" s="5" t="inlineStr">
        <is>
          <t>Payload 非法</t>
        </is>
      </c>
      <c r="D110" s="5" t="inlineStr">
        <is>
          <t>任意</t>
        </is>
      </c>
      <c r="E110" s="5" t="inlineStr">
        <is>
          <t>修正编码后重发</t>
        </is>
      </c>
      <c r="F110" s="5" t="n"/>
    </row>
    <row r="111" ht="33" customHeight="1" s="3">
      <c r="A111" s="1">
        <f>"0x14"</f>
        <v/>
      </c>
      <c r="B111" s="1" t="inlineStr">
        <is>
          <t>BUSY</t>
        </is>
      </c>
      <c r="C111" s="1" t="inlineStr">
        <is>
          <t>设备忙</t>
        </is>
      </c>
      <c r="D111" s="1" t="inlineStr">
        <is>
          <t>任意</t>
        </is>
      </c>
      <c r="E111" s="1" t="inlineStr">
        <is>
          <t>稍后重试</t>
        </is>
      </c>
      <c r="F111" s="1" t="n"/>
    </row>
    <row r="112" ht="33" customHeight="1" s="3">
      <c r="A112" s="5">
        <f>"0xFF"</f>
        <v/>
      </c>
      <c r="B112" s="5" t="inlineStr">
        <is>
          <t>INTERNAL_ERROR</t>
        </is>
      </c>
      <c r="C112" s="5" t="inlineStr">
        <is>
          <t>设备内部错误</t>
        </is>
      </c>
      <c r="D112" s="5" t="inlineStr">
        <is>
          <t>任意</t>
        </is>
      </c>
      <c r="E112" s="5" t="inlineStr">
        <is>
          <t>记录并重新查询状态</t>
        </is>
      </c>
      <c r="F112" s="5" t="n"/>
    </row>
  </sheetData>
  <mergeCells count="20">
    <mergeCell ref="A41:F41"/>
    <mergeCell ref="A27:F27"/>
    <mergeCell ref="A18:F18"/>
    <mergeCell ref="A86:F86"/>
    <mergeCell ref="A71:F71"/>
    <mergeCell ref="A2:F2"/>
    <mergeCell ref="A17:F17"/>
    <mergeCell ref="A35:F35"/>
    <mergeCell ref="A4:F4"/>
    <mergeCell ref="A62:F62"/>
    <mergeCell ref="A28:F28"/>
    <mergeCell ref="A93:F93"/>
    <mergeCell ref="A102:F102"/>
    <mergeCell ref="A34:F34"/>
    <mergeCell ref="A40:F40"/>
    <mergeCell ref="A48:F48"/>
    <mergeCell ref="A49:F49"/>
    <mergeCell ref="A1:F1"/>
    <mergeCell ref="A70:F70"/>
    <mergeCell ref="A61:F6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tabSelected="1" topLeftCell="A89" workbookViewId="0">
      <selection activeCell="M73" sqref="M73"/>
    </sheetView>
  </sheetViews>
  <sheetFormatPr baseColWidth="8" defaultRowHeight="14.25"/>
  <cols>
    <col width="15" customWidth="1" style="14" min="1" max="1"/>
    <col width="25" customWidth="1" style="14" min="2" max="2"/>
    <col width="25.625" bestFit="1" customWidth="1" style="14" min="3" max="3"/>
    <col width="24" customWidth="1" style="14" min="4" max="4"/>
    <col width="35" customWidth="1" style="14" min="5" max="5"/>
    <col width="50" customWidth="1" style="14" min="6" max="6"/>
    <col width="9" customWidth="1" style="14" min="7" max="16384"/>
  </cols>
  <sheetData>
    <row r="1" ht="24" customHeight="1" s="3">
      <c r="A1" s="134" t="inlineStr">
        <is>
          <t>专注状态断连重连同步协议 · Ver 1.2.0</t>
        </is>
      </c>
      <c r="B1" s="153" t="n"/>
      <c r="C1" s="153" t="n"/>
      <c r="D1" s="153" t="n"/>
      <c r="E1" s="153" t="n"/>
      <c r="F1" s="154" t="n"/>
    </row>
    <row r="2" ht="38.1" customHeight="1" s="3">
      <c r="A2" s="132" t="inlineStr">
        <is>
          <t>设备离线操作立即生效；FOCUS_RESOLVE 必须收到匹配 RESULT/COMMITTED 后才解锁；DayPack/数据 COMMIT 不是重连必经步骤</t>
        </is>
      </c>
      <c r="B2" s="153" t="n"/>
      <c r="C2" s="153" t="n"/>
      <c r="D2" s="153" t="n"/>
      <c r="E2" s="153" t="n"/>
      <c r="F2" s="154" t="n"/>
    </row>
    <row r="3" ht="24" customHeight="1" s="3"/>
    <row r="4" ht="24" customHeight="1" s="3">
      <c r="A4" s="112" t="inlineStr">
        <is>
          <t>一、同步原则</t>
        </is>
      </c>
      <c r="B4" s="153" t="n"/>
      <c r="C4" s="153" t="n"/>
      <c r="D4" s="153" t="n"/>
      <c r="E4" s="153" t="n"/>
      <c r="F4" s="154" t="n"/>
    </row>
    <row r="5" ht="24" customHeight="1" s="3">
      <c r="A5" s="15" t="inlineStr">
        <is>
          <t>规则</t>
        </is>
      </c>
      <c r="B5" s="15" t="inlineStr">
        <is>
          <t>触发</t>
        </is>
      </c>
      <c r="C5" s="15" t="inlineStr">
        <is>
          <t>设备行为</t>
        </is>
      </c>
      <c r="D5" s="15" t="inlineStr">
        <is>
          <t>App 行为</t>
        </is>
      </c>
      <c r="E5" s="15" t="inlineStr">
        <is>
          <t>时间规则</t>
        </is>
      </c>
      <c r="F5" s="15" t="inlineStr">
        <is>
          <t>备注</t>
        </is>
      </c>
    </row>
    <row r="6" ht="38.1" customHeight="1" s="3">
      <c r="A6" s="16" t="inlineStr">
        <is>
          <t>P1</t>
        </is>
      </c>
      <c r="B6" s="16" t="inlineStr">
        <is>
          <t>BLE 断连</t>
        </is>
      </c>
      <c r="C6" s="16" t="inlineStr">
        <is>
          <t>仅本地有效按键可改变设备专注状态；立即生效</t>
        </is>
      </c>
      <c r="D6" s="16" t="inlineStr">
        <is>
          <t>不得用旧缓存状态否定设备操作</t>
        </is>
      </c>
      <c r="E6" s="16" t="inlineStr">
        <is>
          <t>记录秒级时间</t>
        </is>
      </c>
      <c r="F6" s="16" t="inlineStr">
        <is>
          <t>在线行为保持现有流程</t>
        </is>
      </c>
    </row>
    <row r="7" ht="38.1" customHeight="1" s="3">
      <c r="A7" s="17" t="inlineStr">
        <is>
          <t>P2</t>
        </is>
      </c>
      <c r="B7" s="17" t="inlineStr">
        <is>
          <t>离线进入</t>
        </is>
      </c>
      <c r="C7" s="17" t="inlineStr">
        <is>
          <t>生成 FocusSessionId，进入专注页并排队 FocusStart</t>
        </is>
      </c>
      <c r="D7" s="17" t="inlineStr">
        <is>
          <t>重连后接受设备会话并开启挡板</t>
        </is>
      </c>
      <c r="E7" s="17" t="inlineStr">
        <is>
          <t>设备开始时间优先</t>
        </is>
      </c>
      <c r="F7" s="17" t="inlineStr">
        <is>
          <t>不等待 TaskInPage/ACK</t>
        </is>
      </c>
    </row>
    <row r="8" ht="38.1" customHeight="1" s="3">
      <c r="A8" s="16" t="inlineStr">
        <is>
          <t>P3</t>
        </is>
      </c>
      <c r="B8" s="16" t="inlineStr">
        <is>
          <t>线上进入后断连</t>
        </is>
      </c>
      <c r="C8" s="16" t="inlineStr">
        <is>
          <t>保留原 FocusSessionId 并继续本地计时</t>
        </is>
      </c>
      <c r="D8" s="16" t="inlineStr">
        <is>
          <t>保留原会话，不重复创建</t>
        </is>
      </c>
      <c r="E8" s="16" t="inlineStr">
        <is>
          <t>App 原开始时间优先</t>
        </is>
      </c>
      <c r="F8" s="16" t="inlineStr">
        <is>
          <t>预计误差 ≤120 秒</t>
        </is>
      </c>
    </row>
    <row r="9" ht="38.1" customHeight="1" s="3">
      <c r="A9" s="17" t="inlineStr">
        <is>
          <t>P4</t>
        </is>
      </c>
      <c r="B9" s="17" t="inlineStr">
        <is>
          <t>离线退出</t>
        </is>
      </c>
      <c r="C9" s="17" t="inlineStr">
        <is>
          <t>立即停止计时、退出页面并排队 Complete/Skip</t>
        </is>
      </c>
      <c r="D9" s="17" t="inlineStr">
        <is>
          <t>重连后撤挡板并只结算一次</t>
        </is>
      </c>
      <c r="E9" s="17" t="inlineStr">
        <is>
          <t>结束优先</t>
        </is>
      </c>
      <c r="F9" s="17" t="inlineStr">
        <is>
          <t>不等待 0x1B/超时</t>
        </is>
      </c>
    </row>
    <row r="10" ht="38.1" customHeight="1" s="3">
      <c r="A10" s="16" t="inlineStr">
        <is>
          <t>P5</t>
        </is>
      </c>
      <c r="B10" s="16" t="inlineStr">
        <is>
          <t>重连</t>
        </is>
      </c>
      <c r="C10" s="16" t="inlineStr">
        <is>
          <t>先发 FOCUS_STATE 和 OP_BATCH</t>
        </is>
      </c>
      <c r="D10" s="16" t="inlineStr">
        <is>
          <t>先裁决再发普通 0x14</t>
        </is>
      </c>
      <c r="E10" s="16" t="inlineStr">
        <is>
          <t>Phase/Bottles 按权威时长派生</t>
        </is>
      </c>
      <c r="F10" s="16" t="inlineStr">
        <is>
          <t>禁止双方数值相加</t>
        </is>
      </c>
    </row>
    <row r="11" ht="24" customHeight="1" s="3"/>
    <row r="12" ht="24" customHeight="1" s="3">
      <c r="A12" s="138" t="inlineStr">
        <is>
          <t>二、OfflineSync 专注 Opcode 总览</t>
        </is>
      </c>
      <c r="B12" s="153" t="n"/>
      <c r="C12" s="153" t="n"/>
      <c r="D12" s="153" t="n"/>
      <c r="E12" s="153" t="n"/>
      <c r="F12" s="154" t="n"/>
    </row>
    <row r="13" ht="24" customHeight="1" s="3">
      <c r="A13" s="15" t="inlineStr">
        <is>
          <t>Type</t>
        </is>
      </c>
      <c r="B13" s="15" t="inlineStr">
        <is>
          <t>Opcode</t>
        </is>
      </c>
      <c r="C13" s="15" t="inlineStr">
        <is>
          <t>名称</t>
        </is>
      </c>
      <c r="D13" s="15" t="inlineStr">
        <is>
          <t>方向</t>
        </is>
      </c>
      <c r="E13" s="15" t="inlineStr">
        <is>
          <t>Payload 长度</t>
        </is>
      </c>
      <c r="F13" s="15" t="inlineStr">
        <is>
          <t>作用</t>
        </is>
      </c>
    </row>
    <row r="14" ht="24" customHeight="1" s="3">
      <c r="A14" s="18" t="inlineStr">
        <is>
          <t>0x25</t>
        </is>
      </c>
      <c r="B14" s="18" t="inlineStr">
        <is>
          <t>0x06</t>
        </is>
      </c>
      <c r="C14" s="16" t="inlineStr">
        <is>
          <t>FOCUS_RESOLVE</t>
        </is>
      </c>
      <c r="D14" s="16" t="inlineStr">
        <is>
          <t>App → Device</t>
        </is>
      </c>
      <c r="E14" s="16" t="inlineStr">
        <is>
          <t>33</t>
        </is>
      </c>
      <c r="F14" s="16" t="inlineStr">
        <is>
          <t>确认离线操作处理完成并下发权威专注裁决</t>
        </is>
      </c>
    </row>
    <row r="15" ht="24" customHeight="1" s="3">
      <c r="A15" s="19" t="inlineStr">
        <is>
          <t>0x25</t>
        </is>
      </c>
      <c r="B15" s="19" t="inlineStr">
        <is>
          <t>0x83</t>
        </is>
      </c>
      <c r="C15" s="17" t="inlineStr">
        <is>
          <t>FOCUS_STATE</t>
        </is>
      </c>
      <c r="D15" s="17" t="inlineStr">
        <is>
          <t>Device → App</t>
        </is>
      </c>
      <c r="E15" s="17" t="inlineStr">
        <is>
          <t>37+N</t>
        </is>
      </c>
      <c r="F15" s="17" t="inlineStr">
        <is>
          <t>重连时主动上报当前专注快照；必须早于普通 0x14</t>
        </is>
      </c>
    </row>
    <row r="16" ht="24" customHeight="1" s="3">
      <c r="A16" s="136" t="inlineStr">
        <is>
          <t>Type 0x25</t>
        </is>
      </c>
      <c r="B16" s="137" t="inlineStr">
        <is>
          <t>Opcode 0x81</t>
        </is>
      </c>
      <c r="C16" s="137" t="inlineStr">
        <is>
          <t>RESULT</t>
        </is>
      </c>
      <c r="D16" s="137" t="inlineStr">
        <is>
          <t>Device → App</t>
        </is>
      </c>
      <c r="E16" s="137" t="inlineStr">
        <is>
          <t>7</t>
        </is>
      </c>
      <c r="F16" s="137" t="inlineStr">
        <is>
          <t>SyncId=ResolveID；COMMITTED(0x02) 解锁</t>
        </is>
      </c>
    </row>
    <row r="17" ht="24" customHeight="1" s="3"/>
    <row r="18" ht="24" customHeight="1" s="3">
      <c r="A18" s="112" t="inlineStr">
        <is>
          <t>三、FocusStatus（0x14，SubVersion 0x02）</t>
        </is>
      </c>
      <c r="B18" s="153" t="n"/>
      <c r="C18" s="153" t="n"/>
      <c r="D18" s="153" t="n"/>
      <c r="E18" s="153" t="n"/>
      <c r="F18" s="154" t="n"/>
    </row>
    <row r="19" ht="38.1" customHeight="1" s="3">
      <c r="A19" s="111" t="inlineStr">
        <is>
          <t>App → Device｜同步完成后的权威状态心跳；FocusRevision=0 仅表示无有效版本，首个有效版本从 1 开始；旧于设备已应用版本时拒绝</t>
        </is>
      </c>
      <c r="B19" s="153" t="n"/>
      <c r="C19" s="153" t="n"/>
      <c r="D19" s="153" t="n"/>
      <c r="E19" s="153" t="n"/>
      <c r="F19" s="154" t="n"/>
    </row>
    <row r="20" ht="24" customHeight="1" s="3">
      <c r="A20" s="15" t="inlineStr">
        <is>
          <t>偏移</t>
        </is>
      </c>
      <c r="B20" s="15" t="inlineStr">
        <is>
          <t>字段</t>
        </is>
      </c>
      <c r="C20" s="15" t="inlineStr">
        <is>
          <t>大小</t>
        </is>
      </c>
      <c r="D20" s="15" t="inlineStr">
        <is>
          <t>取值</t>
        </is>
      </c>
      <c r="E20" s="15" t="inlineStr">
        <is>
          <t>说明</t>
        </is>
      </c>
      <c r="F20" s="15" t="inlineStr">
        <is>
          <t>约束</t>
        </is>
      </c>
    </row>
    <row r="21" ht="24" customHeight="1" s="3">
      <c r="A21" s="16" t="inlineStr">
        <is>
          <t>0</t>
        </is>
      </c>
      <c r="B21" s="16" t="inlineStr">
        <is>
          <t>SubVersion</t>
        </is>
      </c>
      <c r="C21" s="16" t="inlineStr">
        <is>
          <t>1</t>
        </is>
      </c>
      <c r="D21" s="16" t="inlineStr">
        <is>
          <t>固定 0x02</t>
        </is>
      </c>
      <c r="E21" s="16" t="inlineStr">
        <is>
          <t>FocusStatus v2</t>
        </is>
      </c>
      <c r="F21" s="16" t="inlineStr">
        <is>
          <t>旧固件继续使用旧版结构</t>
        </is>
      </c>
    </row>
    <row r="22" ht="24" customHeight="1" s="3">
      <c r="A22" s="17" t="inlineStr">
        <is>
          <t>1..4</t>
        </is>
      </c>
      <c r="B22" s="17" t="inlineStr">
        <is>
          <t>FocusRevision</t>
        </is>
      </c>
      <c r="C22" s="17" t="inlineStr">
        <is>
          <t>4</t>
        </is>
      </c>
      <c r="D22" s="17" t="inlineStr">
        <is>
          <t>UInt32 BE</t>
        </is>
      </c>
      <c r="E22" s="17" t="inlineStr">
        <is>
          <t>App 权威专注版本</t>
        </is>
      </c>
      <c r="F22" s="17" t="inlineStr">
        <is>
          <t>0 仅表示无有效版本，首个有效版本为 1；每个不同的完整 0x14 内容严格递增；同 revision 只重试同一冻结内容的原字节；不得回绕到 0</t>
        </is>
      </c>
    </row>
    <row r="23" ht="24" customHeight="1" s="3">
      <c r="A23" s="16" t="inlineStr">
        <is>
          <t>5..12</t>
        </is>
      </c>
      <c r="B23" s="16" t="inlineStr">
        <is>
          <t>FocusSessionId</t>
        </is>
      </c>
      <c r="C23" s="16" t="inlineStr">
        <is>
          <t>8</t>
        </is>
      </c>
      <c r="D23" s="16" t="inlineStr">
        <is>
          <t>原始 8B</t>
        </is>
      </c>
      <c r="E23" s="16" t="inlineStr">
        <is>
          <t>BootSessionId + StartOperationID</t>
        </is>
      </c>
      <c r="F23" s="16" t="inlineStr">
        <is>
          <t>idle 时全 0</t>
        </is>
      </c>
    </row>
    <row r="24" ht="24" customHeight="1" s="3">
      <c r="A24" s="17" t="inlineStr">
        <is>
          <t>13</t>
        </is>
      </c>
      <c r="B24" s="17" t="inlineStr">
        <is>
          <t>FocusState</t>
        </is>
      </c>
      <c r="C24" s="17" t="inlineStr">
        <is>
          <t>1</t>
        </is>
      </c>
      <c r="D24" s="17" t="inlineStr">
        <is>
          <t>0x00..0x02</t>
        </is>
      </c>
      <c r="E24" s="17" t="inlineStr">
        <is>
          <t>idle / active / endedPending</t>
        </is>
      </c>
      <c r="F24" s="17" t="inlineStr">
        <is>
          <t>见枚举页</t>
        </is>
      </c>
    </row>
    <row r="25" ht="24" customHeight="1" s="3">
      <c r="A25" s="16" t="inlineStr">
        <is>
          <t>14</t>
        </is>
      </c>
      <c r="B25" s="16" t="inlineStr">
        <is>
          <t>Phase</t>
        </is>
      </c>
      <c r="C25" s="16" t="inlineStr">
        <is>
          <t>1</t>
        </is>
      </c>
      <c r="D25" s="16" t="inlineStr">
        <is>
          <t>0..3</t>
        </is>
      </c>
      <c r="E25" s="16" t="inlineStr">
        <is>
          <t>显示阶段</t>
        </is>
      </c>
      <c r="F25" s="16" t="inlineStr">
        <is>
          <t>按权威 elapsed 派生</t>
        </is>
      </c>
    </row>
    <row r="26" ht="24" customHeight="1" s="3">
      <c r="A26" s="17" t="inlineStr">
        <is>
          <t>15</t>
        </is>
      </c>
      <c r="B26" s="17" t="inlineStr">
        <is>
          <t>Bottles</t>
        </is>
      </c>
      <c r="C26" s="17" t="inlineStr">
        <is>
          <t>1</t>
        </is>
      </c>
      <c r="D26" s="17" t="inlineStr">
        <is>
          <t>0..255</t>
        </is>
      </c>
      <c r="E26" s="17" t="inlineStr">
        <is>
          <t>本会话能量瓶显示值</t>
        </is>
      </c>
      <c r="F26" s="17" t="inlineStr">
        <is>
          <t>不得把双方瓶子相加</t>
        </is>
      </c>
    </row>
    <row r="27" ht="24" customHeight="1" s="3">
      <c r="A27" s="16" t="inlineStr">
        <is>
          <t>16..19</t>
        </is>
      </c>
      <c r="B27" s="16" t="inlineStr">
        <is>
          <t>ElapsedSeconds</t>
        </is>
      </c>
      <c r="C27" s="16" t="inlineStr">
        <is>
          <t>4</t>
        </is>
      </c>
      <c r="D27" s="16" t="inlineStr">
        <is>
          <t>UInt32 BE</t>
        </is>
      </c>
      <c r="E27" s="16" t="inlineStr">
        <is>
          <t>权威累计秒数</t>
        </is>
      </c>
      <c r="F27" s="16" t="inlineStr">
        <is>
          <t>替代分钟级同步</t>
        </is>
      </c>
    </row>
    <row r="28" ht="24" customHeight="1" s="3">
      <c r="A28" s="17" t="inlineStr">
        <is>
          <t>20..</t>
        </is>
      </c>
      <c r="B28" s="17" t="inlineStr">
        <is>
          <t>TaskTitle</t>
        </is>
      </c>
      <c r="C28" s="17" t="inlineStr">
        <is>
          <t>1+N</t>
        </is>
      </c>
      <c r="D28" s="17" t="inlineStr">
        <is>
          <t>N≤40</t>
        </is>
      </c>
      <c r="E28" s="17" t="inlineStr">
        <is>
          <t>长度前缀任务标题</t>
        </is>
      </c>
      <c r="F28" s="17" t="inlineStr">
        <is>
          <t>idle 时 N=0</t>
        </is>
      </c>
    </row>
    <row r="29" ht="24" customHeight="1" s="3">
      <c r="A29" s="16" t="inlineStr">
        <is>
          <t>21+N..24+N</t>
        </is>
      </c>
      <c r="B29" s="16" t="inlineStr">
        <is>
          <t>SegmentSeconds</t>
        </is>
      </c>
      <c r="C29" s="16" t="inlineStr">
        <is>
          <t>4</t>
        </is>
      </c>
      <c r="D29" s="16" t="inlineStr">
        <is>
          <t>UInt32 BE</t>
        </is>
      </c>
      <c r="E29" s="16" t="inlineStr">
        <is>
          <t>当前未打断连续秒数</t>
        </is>
      </c>
      <c r="F29" s="16" t="inlineStr">
        <is>
          <t>会话结束时可为 0</t>
        </is>
      </c>
    </row>
    <row r="30" ht="24" customHeight="1" s="3">
      <c r="A30" s="20" t="inlineStr">
        <is>
          <t>Payload 总长</t>
        </is>
      </c>
      <c r="B30" s="20" t="inlineStr">
        <is>
          <t>25+N</t>
        </is>
      </c>
      <c r="C30" s="20" t="inlineStr">
        <is>
          <t>完整帧长</t>
        </is>
      </c>
      <c r="D30" s="20" t="inlineStr">
        <is>
          <t>28+N</t>
        </is>
      </c>
      <c r="E30" s="20" t="inlineStr">
        <is>
          <t>传输</t>
        </is>
      </c>
      <c r="F30" s="20" t="inlineStr">
        <is>
          <t>简单包：Type(1)+Length(2)+Payload</t>
        </is>
      </c>
    </row>
    <row r="31" ht="24" customHeight="1" s="3"/>
    <row r="32" ht="24" customHeight="1" s="3">
      <c r="A32" s="112" t="inlineStr">
        <is>
          <t>四、EnterTaskIn（0x10，SubVersion 0x02）</t>
        </is>
      </c>
      <c r="B32" s="153" t="n"/>
      <c r="C32" s="153" t="n"/>
      <c r="D32" s="153" t="n"/>
      <c r="E32" s="153" t="n"/>
      <c r="F32" s="154" t="n"/>
    </row>
    <row r="33" ht="38.1" customHeight="1" s="3">
      <c r="A33" s="111" t="inlineStr">
        <is>
          <t>Device → App｜线上实时发送；断连时写入 OP_BATCH，设备立即进入专注</t>
        </is>
      </c>
      <c r="B33" s="153" t="n"/>
      <c r="C33" s="153" t="n"/>
      <c r="D33" s="153" t="n"/>
      <c r="E33" s="153" t="n"/>
      <c r="F33" s="154" t="n"/>
    </row>
    <row r="34" ht="24" customHeight="1" s="3">
      <c r="A34" s="15" t="inlineStr">
        <is>
          <t>偏移</t>
        </is>
      </c>
      <c r="B34" s="15" t="inlineStr">
        <is>
          <t>字段</t>
        </is>
      </c>
      <c r="C34" s="15" t="inlineStr">
        <is>
          <t>大小</t>
        </is>
      </c>
      <c r="D34" s="15" t="inlineStr">
        <is>
          <t>取值</t>
        </is>
      </c>
      <c r="E34" s="15" t="inlineStr">
        <is>
          <t>说明</t>
        </is>
      </c>
      <c r="F34" s="15" t="inlineStr">
        <is>
          <t>约束</t>
        </is>
      </c>
    </row>
    <row r="35" ht="24" customHeight="1" s="3">
      <c r="A35" s="16" t="inlineStr">
        <is>
          <t>0</t>
        </is>
      </c>
      <c r="B35" s="16" t="inlineStr">
        <is>
          <t>SubVersion</t>
        </is>
      </c>
      <c r="C35" s="16" t="inlineStr">
        <is>
          <t>1</t>
        </is>
      </c>
      <c r="D35" s="16" t="inlineStr">
        <is>
          <t>固定 0x02</t>
        </is>
      </c>
      <c r="E35" s="16" t="inlineStr">
        <is>
          <t>专注操作 v2</t>
        </is>
      </c>
      <c r="F35" s="16" t="inlineStr">
        <is>
          <t>其他版本拒绝</t>
        </is>
      </c>
    </row>
    <row r="36" ht="24" customHeight="1" s="3">
      <c r="A36" s="17" t="inlineStr">
        <is>
          <t>1..4</t>
        </is>
      </c>
      <c r="B36" s="17" t="inlineStr">
        <is>
          <t>OperationID</t>
        </is>
      </c>
      <c r="C36" s="17" t="inlineStr">
        <is>
          <t>4</t>
        </is>
      </c>
      <c r="D36" s="17" t="inlineStr">
        <is>
          <t>UInt32 BE 非零</t>
        </is>
      </c>
      <c r="E36" s="17" t="inlineStr">
        <is>
          <t>本次开始操作 ID</t>
        </is>
      </c>
      <c r="F36" s="17" t="inlineStr">
        <is>
          <t>重传必须原样复用</t>
        </is>
      </c>
    </row>
    <row r="37" ht="24" customHeight="1" s="3">
      <c r="A37" s="16" t="inlineStr">
        <is>
          <t>5..12</t>
        </is>
      </c>
      <c r="B37" s="16" t="inlineStr">
        <is>
          <t>FocusSessionId</t>
        </is>
      </c>
      <c r="C37" s="16" t="inlineStr">
        <is>
          <t>8</t>
        </is>
      </c>
      <c r="D37" s="16" t="inlineStr">
        <is>
          <t>原始 8B</t>
        </is>
      </c>
      <c r="E37" s="16" t="inlineStr">
        <is>
          <t>BootSessionId + 本 StartOperationID</t>
        </is>
      </c>
      <c r="F37" s="16" t="inlineStr">
        <is>
          <t>全局幂等会话键</t>
        </is>
      </c>
    </row>
    <row r="38" ht="24" customHeight="1" s="3">
      <c r="A38" s="17" t="inlineStr">
        <is>
          <t>13..</t>
        </is>
      </c>
      <c r="B38" s="17" t="inlineStr">
        <is>
          <t>TaskId</t>
        </is>
      </c>
      <c r="C38" s="17" t="inlineStr">
        <is>
          <t>1+N</t>
        </is>
      </c>
      <c r="D38" s="17" t="inlineStr">
        <is>
          <t>N≤36</t>
        </is>
      </c>
      <c r="E38" s="17" t="inlineStr">
        <is>
          <t>TaskIdLength + TaskId</t>
        </is>
      </c>
      <c r="F38" s="17" t="inlineStr">
        <is>
          <t>可打印 ASCII</t>
        </is>
      </c>
    </row>
    <row r="39" ht="24" customHeight="1" s="3">
      <c r="A39" s="16" t="inlineStr">
        <is>
          <t>14+N..17+N</t>
        </is>
      </c>
      <c r="B39" s="16" t="inlineStr">
        <is>
          <t>StartTimestamp</t>
        </is>
      </c>
      <c r="C39" s="16" t="inlineStr">
        <is>
          <t>4</t>
        </is>
      </c>
      <c r="D39" s="16" t="inlineStr">
        <is>
          <t>UInt32 BE</t>
        </is>
      </c>
      <c r="E39" s="16" t="inlineStr">
        <is>
          <t>开始 Unix 时间</t>
        </is>
      </c>
      <c r="F39" s="16" t="inlineStr">
        <is>
          <t>RTC 无效时置 0</t>
        </is>
      </c>
    </row>
    <row r="40" ht="24" customHeight="1" s="3">
      <c r="A40" s="20" t="inlineStr">
        <is>
          <t>Payload 总长</t>
        </is>
      </c>
      <c r="B40" s="20" t="inlineStr">
        <is>
          <t>18+N</t>
        </is>
      </c>
      <c r="C40" s="20" t="inlineStr">
        <is>
          <t>完整帧长</t>
        </is>
      </c>
      <c r="D40" s="20" t="inlineStr">
        <is>
          <t>20+N</t>
        </is>
      </c>
      <c r="E40" s="20" t="inlineStr">
        <is>
          <t>传输</t>
        </is>
      </c>
      <c r="F40" s="20" t="inlineStr">
        <is>
          <t>简单事件包；离线时作为 OP_BATCH.OriginalPayload</t>
        </is>
      </c>
    </row>
    <row r="41" ht="24" customHeight="1" s="3"/>
    <row r="42" ht="24" customHeight="1" s="3">
      <c r="A42" s="112" t="inlineStr">
        <is>
          <t>五、CompleteTask / SkipTask（0x11 / 0x12，SubVersion 0x02）</t>
        </is>
      </c>
      <c r="B42" s="153" t="n"/>
      <c r="C42" s="153" t="n"/>
      <c r="D42" s="153" t="n"/>
      <c r="E42" s="153" t="n"/>
      <c r="F42" s="154" t="n"/>
    </row>
    <row r="43" ht="38.1" customHeight="1" s="3">
      <c r="A43" s="111" t="inlineStr">
        <is>
          <t>Device → App｜事件 Type 隐含 complete/skip；断连时本地立即退出并写入 OP_BATCH</t>
        </is>
      </c>
      <c r="B43" s="153" t="n"/>
      <c r="C43" s="153" t="n"/>
      <c r="D43" s="153" t="n"/>
      <c r="E43" s="153" t="n"/>
      <c r="F43" s="154" t="n"/>
    </row>
    <row r="44" ht="24" customHeight="1" s="3">
      <c r="A44" s="15" t="inlineStr">
        <is>
          <t>偏移</t>
        </is>
      </c>
      <c r="B44" s="15" t="inlineStr">
        <is>
          <t>字段</t>
        </is>
      </c>
      <c r="C44" s="15" t="inlineStr">
        <is>
          <t>大小</t>
        </is>
      </c>
      <c r="D44" s="15" t="inlineStr">
        <is>
          <t>取值</t>
        </is>
      </c>
      <c r="E44" s="15" t="inlineStr">
        <is>
          <t>说明</t>
        </is>
      </c>
      <c r="F44" s="15" t="inlineStr">
        <is>
          <t>约束</t>
        </is>
      </c>
    </row>
    <row r="45" ht="24" customHeight="1" s="3">
      <c r="A45" s="16" t="inlineStr">
        <is>
          <t>0</t>
        </is>
      </c>
      <c r="B45" s="16" t="inlineStr">
        <is>
          <t>SubVersion</t>
        </is>
      </c>
      <c r="C45" s="16" t="inlineStr">
        <is>
          <t>1</t>
        </is>
      </c>
      <c r="D45" s="16" t="inlineStr">
        <is>
          <t>固定 0x02</t>
        </is>
      </c>
      <c r="E45" s="16" t="inlineStr">
        <is>
          <t>专注结束操作 v2</t>
        </is>
      </c>
      <c r="F45" s="16" t="inlineStr">
        <is>
          <t>其他版本拒绝</t>
        </is>
      </c>
    </row>
    <row r="46" ht="24" customHeight="1" s="3">
      <c r="A46" s="17" t="inlineStr">
        <is>
          <t>1..4</t>
        </is>
      </c>
      <c r="B46" s="17" t="inlineStr">
        <is>
          <t>OperationID</t>
        </is>
      </c>
      <c r="C46" s="17" t="inlineStr">
        <is>
          <t>4</t>
        </is>
      </c>
      <c r="D46" s="17" t="inlineStr">
        <is>
          <t>UInt32 BE 非零</t>
        </is>
      </c>
      <c r="E46" s="17" t="inlineStr">
        <is>
          <t>本次结束操作 ID</t>
        </is>
      </c>
      <c r="F46" s="17" t="inlineStr">
        <is>
          <t>重传必须原样复用</t>
        </is>
      </c>
    </row>
    <row r="47" ht="24" customHeight="1" s="3">
      <c r="A47" s="16" t="inlineStr">
        <is>
          <t>5..12</t>
        </is>
      </c>
      <c r="B47" s="16" t="inlineStr">
        <is>
          <t>FocusSessionId</t>
        </is>
      </c>
      <c r="C47" s="16" t="inlineStr">
        <is>
          <t>8</t>
        </is>
      </c>
      <c r="D47" s="16" t="inlineStr">
        <is>
          <t>原始 8B</t>
        </is>
      </c>
      <c r="E47" s="16" t="inlineStr">
        <is>
          <t>要结束的会话</t>
        </is>
      </c>
      <c r="F47" s="16" t="inlineStr">
        <is>
          <t>必须匹配活动会话</t>
        </is>
      </c>
    </row>
    <row r="48" ht="24" customHeight="1" s="3">
      <c r="A48" s="17" t="inlineStr">
        <is>
          <t>13..</t>
        </is>
      </c>
      <c r="B48" s="17" t="inlineStr">
        <is>
          <t>TaskId</t>
        </is>
      </c>
      <c r="C48" s="17" t="inlineStr">
        <is>
          <t>1+N</t>
        </is>
      </c>
      <c r="D48" s="17" t="inlineStr">
        <is>
          <t>N≤36</t>
        </is>
      </c>
      <c r="E48" s="17" t="inlineStr">
        <is>
          <t>TaskIdLength + TaskId</t>
        </is>
      </c>
      <c r="F48" s="17" t="inlineStr">
        <is>
          <t>与开始操作一致</t>
        </is>
      </c>
    </row>
    <row r="49" ht="24" customHeight="1" s="3">
      <c r="A49" s="16" t="inlineStr">
        <is>
          <t>14+N..17+N</t>
        </is>
      </c>
      <c r="B49" s="16" t="inlineStr">
        <is>
          <t>EndTimestamp</t>
        </is>
      </c>
      <c r="C49" s="16" t="inlineStr">
        <is>
          <t>4</t>
        </is>
      </c>
      <c r="D49" s="16" t="inlineStr">
        <is>
          <t>UInt32 BE</t>
        </is>
      </c>
      <c r="E49" s="16" t="inlineStr">
        <is>
          <t>本地按键结束时间</t>
        </is>
      </c>
      <c r="F49" s="16" t="inlineStr">
        <is>
          <t>RTC 无效时置 0</t>
        </is>
      </c>
    </row>
    <row r="50" ht="24" customHeight="1" s="3">
      <c r="A50" s="17" t="inlineStr">
        <is>
          <t>18+N..21+N</t>
        </is>
      </c>
      <c r="B50" s="17" t="inlineStr">
        <is>
          <t>ElapsedSeconds</t>
        </is>
      </c>
      <c r="C50" s="17" t="inlineStr">
        <is>
          <t>4</t>
        </is>
      </c>
      <c r="D50" s="17" t="inlineStr">
        <is>
          <t>UInt32 BE</t>
        </is>
      </c>
      <c r="E50" s="17" t="inlineStr">
        <is>
          <t>设备累计秒数</t>
        </is>
      </c>
      <c r="F50" s="17" t="inlineStr">
        <is>
          <t>用于回推与异常校验</t>
        </is>
      </c>
    </row>
    <row r="51" ht="24" customHeight="1" s="3">
      <c r="A51" s="20" t="inlineStr">
        <is>
          <t>Payload 总长</t>
        </is>
      </c>
      <c r="B51" s="20" t="inlineStr">
        <is>
          <t>22+N</t>
        </is>
      </c>
      <c r="C51" s="20" t="inlineStr">
        <is>
          <t>完整帧长</t>
        </is>
      </c>
      <c r="D51" s="20" t="inlineStr">
        <is>
          <t>24+N</t>
        </is>
      </c>
      <c r="E51" s="20" t="inlineStr">
        <is>
          <t>传输</t>
        </is>
      </c>
      <c r="F51" s="20" t="inlineStr">
        <is>
          <t>简单事件包；离线时作为 OP_BATCH.OriginalPayload</t>
        </is>
      </c>
    </row>
    <row r="52" ht="24" customHeight="1" s="3"/>
    <row r="53" ht="24" customHeight="1" s="3">
      <c r="A53" s="138" t="inlineStr">
        <is>
          <t>六、FOCUS_RESOLVE（0x25 / Opcode 0x06）</t>
        </is>
      </c>
      <c r="B53" s="153" t="n"/>
      <c r="C53" s="153" t="n"/>
      <c r="D53" s="153" t="n"/>
      <c r="E53" s="153" t="n"/>
      <c r="F53" s="154" t="n"/>
    </row>
    <row r="54" ht="38.1" customHeight="1" s="3">
      <c r="A54" s="132" t="inlineStr">
        <is>
          <t>App → Device｜完成 OP_BATCH 幂等处理后下发；设备返回匹配 ResolveID 的 RESULT/COMMITTED 后，App 才能解除 focusSyncLocked</t>
        </is>
      </c>
      <c r="B54" s="153" t="n"/>
      <c r="C54" s="153" t="n"/>
      <c r="D54" s="153" t="n"/>
      <c r="E54" s="153" t="n"/>
      <c r="F54" s="154" t="n"/>
    </row>
    <row r="55" ht="24" customHeight="1" s="3">
      <c r="A55" s="15" t="inlineStr">
        <is>
          <t>偏移</t>
        </is>
      </c>
      <c r="B55" s="15" t="inlineStr">
        <is>
          <t>字段</t>
        </is>
      </c>
      <c r="C55" s="15" t="inlineStr">
        <is>
          <t>大小</t>
        </is>
      </c>
      <c r="D55" s="15" t="inlineStr">
        <is>
          <t>取值</t>
        </is>
      </c>
      <c r="E55" s="15" t="inlineStr">
        <is>
          <t>说明</t>
        </is>
      </c>
      <c r="F55" s="15" t="inlineStr">
        <is>
          <t>约束</t>
        </is>
      </c>
    </row>
    <row r="56" ht="24" customHeight="1" s="3">
      <c r="A56" s="16" t="inlineStr">
        <is>
          <t>0</t>
        </is>
      </c>
      <c r="B56" s="16" t="inlineStr">
        <is>
          <t>Opcode</t>
        </is>
      </c>
      <c r="C56" s="16" t="inlineStr">
        <is>
          <t>1</t>
        </is>
      </c>
      <c r="D56" s="16" t="inlineStr">
        <is>
          <t>固定 0x06</t>
        </is>
      </c>
      <c r="E56" s="16" t="inlineStr">
        <is>
          <t>FOCUS_RESOLVE</t>
        </is>
      </c>
      <c r="F56" s="16" t="inlineStr">
        <is>
          <t>首字节</t>
        </is>
      </c>
    </row>
    <row r="57" ht="24" customHeight="1" s="3">
      <c r="A57" s="17" t="inlineStr">
        <is>
          <t>1..4</t>
        </is>
      </c>
      <c r="B57" s="17" t="inlineStr">
        <is>
          <t>ResolveID</t>
        </is>
      </c>
      <c r="C57" s="17" t="inlineStr">
        <is>
          <t>4</t>
        </is>
      </c>
      <c r="D57" s="17" t="inlineStr">
        <is>
          <t>UInt32 BE 非零</t>
        </is>
      </c>
      <c r="E57" s="17" t="inlineStr">
        <is>
          <t>本次裁决请求 ID</t>
        </is>
      </c>
      <c r="F57" s="17" t="inlineStr">
        <is>
          <t>重试原样复用</t>
        </is>
      </c>
    </row>
    <row r="58" ht="24" customHeight="1" s="3">
      <c r="A58" s="16" t="inlineStr">
        <is>
          <t>5..12</t>
        </is>
      </c>
      <c r="B58" s="16" t="inlineStr">
        <is>
          <t>FocusSessionId</t>
        </is>
      </c>
      <c r="C58" s="16" t="inlineStr">
        <is>
          <t>8</t>
        </is>
      </c>
      <c r="D58" s="16" t="inlineStr">
        <is>
          <t>原始 8B</t>
        </is>
      </c>
      <c r="E58" s="16" t="inlineStr">
        <is>
          <t>裁决后的活动/结束会话</t>
        </is>
      </c>
      <c r="F58" s="16" t="inlineStr">
        <is>
          <t>idle 且无历史目标时全 0</t>
        </is>
      </c>
    </row>
    <row r="59" ht="24" customHeight="1" s="3">
      <c r="A59" s="17" t="inlineStr">
        <is>
          <t>13</t>
        </is>
      </c>
      <c r="B59" s="17" t="inlineStr">
        <is>
          <t>FocusState</t>
        </is>
      </c>
      <c r="C59" s="17" t="inlineStr">
        <is>
          <t>1</t>
        </is>
      </c>
      <c r="D59" s="17" t="inlineStr">
        <is>
          <t>0x00..0x02</t>
        </is>
      </c>
      <c r="E59" s="17" t="inlineStr">
        <is>
          <t>最终状态</t>
        </is>
      </c>
      <c r="F59" s="17" t="inlineStr">
        <is>
          <t>见枚举页</t>
        </is>
      </c>
    </row>
    <row r="60" ht="24" customHeight="1" s="3">
      <c r="A60" s="16" t="inlineStr">
        <is>
          <t>14</t>
        </is>
      </c>
      <c r="B60" s="16" t="inlineStr">
        <is>
          <t>ResolveResult</t>
        </is>
      </c>
      <c r="C60" s="16" t="inlineStr">
        <is>
          <t>1</t>
        </is>
      </c>
      <c r="D60" s="16" t="inlineStr">
        <is>
          <t>见枚举页</t>
        </is>
      </c>
      <c r="E60" s="16" t="inlineStr">
        <is>
          <t>accepted/closed/conflictResolved 等</t>
        </is>
      </c>
      <c r="F60" s="16" t="inlineStr">
        <is>
          <t>失败时设备保留队列</t>
        </is>
      </c>
    </row>
    <row r="61" ht="24" customHeight="1" s="3">
      <c r="A61" s="17" t="inlineStr">
        <is>
          <t>15..18</t>
        </is>
      </c>
      <c r="B61" s="17" t="inlineStr">
        <is>
          <t>StartTimestamp</t>
        </is>
      </c>
      <c r="C61" s="17" t="inlineStr">
        <is>
          <t>4</t>
        </is>
      </c>
      <c r="D61" s="17" t="inlineStr">
        <is>
          <t>UInt32 BE</t>
        </is>
      </c>
      <c r="E61" s="17" t="inlineStr">
        <is>
          <t>权威开始时间</t>
        </is>
      </c>
      <c r="F61" s="17" t="inlineStr">
        <is>
          <t>离线创建采用设备时间</t>
        </is>
      </c>
    </row>
    <row r="62" ht="24" customHeight="1" s="3">
      <c r="A62" s="16" t="inlineStr">
        <is>
          <t>19..22</t>
        </is>
      </c>
      <c r="B62" s="16" t="inlineStr">
        <is>
          <t>EndTimestamp</t>
        </is>
      </c>
      <c r="C62" s="16" t="inlineStr">
        <is>
          <t>4</t>
        </is>
      </c>
      <c r="D62" s="16" t="inlineStr">
        <is>
          <t>UInt32 BE</t>
        </is>
      </c>
      <c r="E62" s="16" t="inlineStr">
        <is>
          <t>权威结束时间</t>
        </is>
      </c>
      <c r="F62" s="16" t="inlineStr">
        <is>
          <t>活动会话为 0</t>
        </is>
      </c>
    </row>
    <row r="63" ht="24" customHeight="1" s="3">
      <c r="A63" s="17" t="inlineStr">
        <is>
          <t>23..26</t>
        </is>
      </c>
      <c r="B63" s="17" t="inlineStr">
        <is>
          <t>ElapsedSeconds</t>
        </is>
      </c>
      <c r="C63" s="17" t="inlineStr">
        <is>
          <t>4</t>
        </is>
      </c>
      <c r="D63" s="17" t="inlineStr">
        <is>
          <t>UInt32 BE</t>
        </is>
      </c>
      <c r="E63" s="17" t="inlineStr">
        <is>
          <t>权威累计秒数</t>
        </is>
      </c>
      <c r="F63" s="17" t="inlineStr">
        <is>
          <t>用于设备立即校准</t>
        </is>
      </c>
    </row>
    <row r="64" ht="24" customHeight="1" s="3">
      <c r="A64" s="16" t="inlineStr">
        <is>
          <t>27..30</t>
        </is>
      </c>
      <c r="B64" s="16" t="inlineStr">
        <is>
          <t>FocusRevision</t>
        </is>
      </c>
      <c r="C64" s="16" t="inlineStr">
        <is>
          <t>4</t>
        </is>
      </c>
      <c r="D64" s="16" t="inlineStr">
        <is>
          <t>UInt32 BE</t>
        </is>
      </c>
      <c r="E64" s="16" t="inlineStr">
        <is>
          <t>裁决后的权威版本</t>
        </is>
      </c>
      <c r="F64" s="16" t="inlineStr">
        <is>
          <t>有效裁决必须非 0；后续 0x14 不得小于此值；重试同一裁决时复用原 revision 和完整 payload</t>
        </is>
      </c>
    </row>
    <row r="65" ht="24" customHeight="1" s="3">
      <c r="A65" s="17" t="inlineStr">
        <is>
          <t>31</t>
        </is>
      </c>
      <c r="B65" s="17" t="inlineStr">
        <is>
          <t>Phase</t>
        </is>
      </c>
      <c r="C65" s="17" t="inlineStr">
        <is>
          <t>1</t>
        </is>
      </c>
      <c r="D65" s="17" t="inlineStr">
        <is>
          <t>0..3</t>
        </is>
      </c>
      <c r="E65" s="17" t="inlineStr">
        <is>
          <t>裁决后显示阶段</t>
        </is>
      </c>
      <c r="F65" s="17" t="inlineStr">
        <is>
          <t>按 elapsed 派生</t>
        </is>
      </c>
    </row>
    <row r="66" ht="24" customHeight="1" s="3">
      <c r="A66" s="16" t="inlineStr">
        <is>
          <t>32</t>
        </is>
      </c>
      <c r="B66" s="16" t="inlineStr">
        <is>
          <t>Bottles</t>
        </is>
      </c>
      <c r="C66" s="16" t="inlineStr">
        <is>
          <t>1</t>
        </is>
      </c>
      <c r="D66" s="16" t="inlineStr">
        <is>
          <t>0..255</t>
        </is>
      </c>
      <c r="E66" s="16" t="inlineStr">
        <is>
          <t>裁决后显示瓶子</t>
        </is>
      </c>
      <c r="F66" s="16" t="inlineStr">
        <is>
          <t>不得累加双方值</t>
        </is>
      </c>
    </row>
    <row r="67" ht="24" customHeight="1" s="3">
      <c r="A67" s="20" t="inlineStr">
        <is>
          <t>Payload 总长</t>
        </is>
      </c>
      <c r="B67" s="20" t="inlineStr">
        <is>
          <t>33</t>
        </is>
      </c>
      <c r="C67" s="20" t="inlineStr">
        <is>
          <t>完整帧长</t>
        </is>
      </c>
      <c r="D67" s="20" t="inlineStr">
        <is>
          <t>36</t>
        </is>
      </c>
      <c r="E67" s="20" t="inlineStr">
        <is>
          <t>传输</t>
        </is>
      </c>
      <c r="F67" s="20" t="inlineStr">
        <is>
          <t>简单包：Type(1)+Length(2)+Payload</t>
        </is>
      </c>
    </row>
    <row r="68" ht="24" customHeight="1" s="3"/>
    <row r="69" ht="24" customHeight="1" s="3">
      <c r="A69" s="112" t="inlineStr">
        <is>
          <t>七、FOCUS_STATE（0x25 / Opcode 0x83）</t>
        </is>
      </c>
      <c r="B69" s="153" t="n"/>
      <c r="C69" s="153" t="n"/>
      <c r="D69" s="153" t="n"/>
      <c r="E69" s="153" t="n"/>
      <c r="F69" s="154" t="n"/>
    </row>
    <row r="70" ht="38.1" customHeight="1" s="3">
      <c r="A70" s="111" t="inlineStr">
        <is>
          <t>Device → App｜Notify 就绪后顺序：DeviceWake → STATE → FOCUS_STATE → OP_BATCH；同步完成前 App 禁止用普通 0x14 覆盖设备</t>
        </is>
      </c>
      <c r="B70" s="153" t="n"/>
      <c r="C70" s="153" t="n"/>
      <c r="D70" s="153" t="n"/>
      <c r="E70" s="153" t="n"/>
      <c r="F70" s="154" t="n"/>
    </row>
    <row r="71" ht="24" customHeight="1" s="3">
      <c r="A71" s="15" t="inlineStr">
        <is>
          <t>偏移</t>
        </is>
      </c>
      <c r="B71" s="15" t="inlineStr">
        <is>
          <t>字段</t>
        </is>
      </c>
      <c r="C71" s="15" t="inlineStr">
        <is>
          <t>大小</t>
        </is>
      </c>
      <c r="D71" s="15" t="inlineStr">
        <is>
          <t>取值</t>
        </is>
      </c>
      <c r="E71" s="15" t="inlineStr">
        <is>
          <t>说明</t>
        </is>
      </c>
      <c r="F71" s="15" t="inlineStr">
        <is>
          <t>约束</t>
        </is>
      </c>
    </row>
    <row r="72" ht="24" customHeight="1" s="3">
      <c r="A72" s="16" t="inlineStr">
        <is>
          <t>0</t>
        </is>
      </c>
      <c r="B72" s="16" t="inlineStr">
        <is>
          <t>Opcode</t>
        </is>
      </c>
      <c r="C72" s="16" t="inlineStr">
        <is>
          <t>1</t>
        </is>
      </c>
      <c r="D72" s="16" t="inlineStr">
        <is>
          <t>固定 0x83</t>
        </is>
      </c>
      <c r="E72" s="16" t="inlineStr">
        <is>
          <t>FOCUS_STATE</t>
        </is>
      </c>
      <c r="F72" s="16" t="inlineStr">
        <is>
          <t>首字节</t>
        </is>
      </c>
    </row>
    <row r="73" ht="24" customHeight="1" s="3">
      <c r="A73" s="17" t="inlineStr">
        <is>
          <t>1..4</t>
        </is>
      </c>
      <c r="B73" s="17" t="inlineStr">
        <is>
          <t>FocusRevision</t>
        </is>
      </c>
      <c r="C73" s="17" t="inlineStr">
        <is>
          <t>4</t>
        </is>
      </c>
      <c r="D73" s="17" t="inlineStr">
        <is>
          <t>UInt32 BE</t>
        </is>
      </c>
      <c r="E73" s="17" t="inlineStr">
        <is>
          <t>设备已应用版本</t>
        </is>
      </c>
      <c r="F73" s="17" t="inlineStr">
        <is>
          <t>仅 FocusState=idle，且 FocusSessionId/TaskId/StartTimestamp/EndTimestamp/ElapsedSeconds/LastOperationID 全零或空、EndReason=none 的空闲哨兵允许为 0；BootSessionId 仍填当前启动会话；其他 FOCUS_STATE 必须非 0，本地每个不同状态也严格递增且不得回绕到 0</t>
        </is>
      </c>
    </row>
    <row r="74" ht="24" customHeight="1" s="3">
      <c r="A74" s="16" t="inlineStr">
        <is>
          <t>5..8</t>
        </is>
      </c>
      <c r="B74" s="16" t="inlineStr">
        <is>
          <t>BootSessionId</t>
        </is>
      </c>
      <c r="C74" s="16" t="inlineStr">
        <is>
          <t>4</t>
        </is>
      </c>
      <c r="D74" s="16" t="inlineStr">
        <is>
          <t>UInt32 BE</t>
        </is>
      </c>
      <c r="E74" s="16" t="inlineStr">
        <is>
          <t>设备启动会话 ID</t>
        </is>
      </c>
      <c r="F74" s="16" t="inlineStr">
        <is>
          <t>与 OperationID 组成幂等键</t>
        </is>
      </c>
    </row>
    <row r="75" ht="24" customHeight="1" s="3">
      <c r="A75" s="17" t="inlineStr">
        <is>
          <t>9..16</t>
        </is>
      </c>
      <c r="B75" s="17" t="inlineStr">
        <is>
          <t>FocusSessionId</t>
        </is>
      </c>
      <c r="C75" s="17" t="inlineStr">
        <is>
          <t>8</t>
        </is>
      </c>
      <c r="D75" s="17" t="inlineStr">
        <is>
          <t>原始 8B</t>
        </is>
      </c>
      <c r="E75" s="17" t="inlineStr">
        <is>
          <t>当前或待裁决会话</t>
        </is>
      </c>
      <c r="F75" s="17" t="inlineStr">
        <is>
          <t>idle 且无待裁决会话时全 0</t>
        </is>
      </c>
    </row>
    <row r="76" ht="24" customHeight="1" s="3">
      <c r="A76" s="16" t="inlineStr">
        <is>
          <t>17</t>
        </is>
      </c>
      <c r="B76" s="16" t="inlineStr">
        <is>
          <t>FocusState</t>
        </is>
      </c>
      <c r="C76" s="16" t="inlineStr">
        <is>
          <t>1</t>
        </is>
      </c>
      <c r="D76" s="16" t="inlineStr">
        <is>
          <t>0x00..0x02</t>
        </is>
      </c>
      <c r="E76" s="16" t="inlineStr">
        <is>
          <t>本地当前状态</t>
        </is>
      </c>
      <c r="F76" s="16" t="inlineStr">
        <is>
          <t>见枚举页</t>
        </is>
      </c>
    </row>
    <row r="77" ht="24" customHeight="1" s="3">
      <c r="A77" s="17" t="inlineStr">
        <is>
          <t>18</t>
        </is>
      </c>
      <c r="B77" s="17" t="inlineStr">
        <is>
          <t>StartSource</t>
        </is>
      </c>
      <c r="C77" s="17" t="inlineStr">
        <is>
          <t>1</t>
        </is>
      </c>
      <c r="D77" s="17" t="inlineStr">
        <is>
          <t>0x00/0x01</t>
        </is>
      </c>
      <c r="E77" s="17" t="inlineStr">
        <is>
          <t>appEstablished/deviceOffline</t>
        </is>
      </c>
      <c r="F77" s="17" t="inlineStr">
        <is>
          <t>决定开始时间权威来源</t>
        </is>
      </c>
    </row>
    <row r="78" ht="24" customHeight="1" s="3">
      <c r="A78" s="16" t="inlineStr">
        <is>
          <t>19</t>
        </is>
      </c>
      <c r="B78" s="16" t="inlineStr">
        <is>
          <t>TaskIdLength</t>
        </is>
      </c>
      <c r="C78" s="16" t="inlineStr">
        <is>
          <t>1</t>
        </is>
      </c>
      <c r="D78" s="16" t="inlineStr">
        <is>
          <t>0..36</t>
        </is>
      </c>
      <c r="E78" s="16" t="inlineStr">
        <is>
          <t>任务 ID 字节数</t>
        </is>
      </c>
      <c r="F78" s="16" t="inlineStr">
        <is>
          <t>idle 可为 0</t>
        </is>
      </c>
    </row>
    <row r="79" ht="24" customHeight="1" s="3">
      <c r="A79" s="17" t="inlineStr">
        <is>
          <t>20..19+N</t>
        </is>
      </c>
      <c r="B79" s="17" t="inlineStr">
        <is>
          <t>TaskId</t>
        </is>
      </c>
      <c r="C79" s="17" t="inlineStr">
        <is>
          <t>N</t>
        </is>
      </c>
      <c r="D79" s="17" t="inlineStr">
        <is>
          <t>ASCII</t>
        </is>
      </c>
      <c r="E79" s="17" t="inlineStr">
        <is>
          <t>会话任务 ID</t>
        </is>
      </c>
      <c r="F79" s="17" t="inlineStr">
        <is>
          <t>长度必须精确匹配</t>
        </is>
      </c>
    </row>
    <row r="80" ht="24" customHeight="1" s="3">
      <c r="A80" s="16" t="inlineStr">
        <is>
          <t>20+N..23+N</t>
        </is>
      </c>
      <c r="B80" s="16" t="inlineStr">
        <is>
          <t>StartTimestamp</t>
        </is>
      </c>
      <c r="C80" s="16" t="inlineStr">
        <is>
          <t>4</t>
        </is>
      </c>
      <c r="D80" s="16" t="inlineStr">
        <is>
          <t>UInt32 BE</t>
        </is>
      </c>
      <c r="E80" s="16" t="inlineStr">
        <is>
          <t>设备记录的开始时间</t>
        </is>
      </c>
      <c r="F80" s="16" t="inlineStr">
        <is>
          <t>RTC 无效为 0</t>
        </is>
      </c>
    </row>
    <row r="81" ht="24" customHeight="1" s="3">
      <c r="A81" s="17" t="inlineStr">
        <is>
          <t>24+N..27+N</t>
        </is>
      </c>
      <c r="B81" s="17" t="inlineStr">
        <is>
          <t>EndTimestamp</t>
        </is>
      </c>
      <c r="C81" s="17" t="inlineStr">
        <is>
          <t>4</t>
        </is>
      </c>
      <c r="D81" s="17" t="inlineStr">
        <is>
          <t>UInt32 BE</t>
        </is>
      </c>
      <c r="E81" s="17" t="inlineStr">
        <is>
          <t>设备记录的结束时间</t>
        </is>
      </c>
      <c r="F81" s="17" t="inlineStr">
        <is>
          <t>活动会话为 0</t>
        </is>
      </c>
    </row>
    <row r="82" ht="24" customHeight="1" s="3">
      <c r="A82" s="16" t="inlineStr">
        <is>
          <t>28+N..31+N</t>
        </is>
      </c>
      <c r="B82" s="16" t="inlineStr">
        <is>
          <t>ElapsedSeconds</t>
        </is>
      </c>
      <c r="C82" s="16" t="inlineStr">
        <is>
          <t>4</t>
        </is>
      </c>
      <c r="D82" s="16" t="inlineStr">
        <is>
          <t>UInt32 BE</t>
        </is>
      </c>
      <c r="E82" s="16" t="inlineStr">
        <is>
          <t>设备累计秒数</t>
        </is>
      </c>
      <c r="F82" s="16" t="inlineStr">
        <is>
          <t>时间对齐依据</t>
        </is>
      </c>
    </row>
    <row r="83" ht="24" customHeight="1" s="3">
      <c r="A83" s="17" t="inlineStr">
        <is>
          <t>32+N..35+N</t>
        </is>
      </c>
      <c r="B83" s="17" t="inlineStr">
        <is>
          <t>LastOperationID</t>
        </is>
      </c>
      <c r="C83" s="17" t="inlineStr">
        <is>
          <t>4</t>
        </is>
      </c>
      <c r="D83" s="17" t="inlineStr">
        <is>
          <t>UInt32 BE</t>
        </is>
      </c>
      <c r="E83" s="17" t="inlineStr">
        <is>
          <t>最近相关操作 ID</t>
        </is>
      </c>
      <c r="F83" s="17" t="inlineStr">
        <is>
          <t>用于诊断与完整性检查</t>
        </is>
      </c>
    </row>
    <row r="84" ht="24" customHeight="1" s="3">
      <c r="A84" s="16" t="inlineStr">
        <is>
          <t>36+N</t>
        </is>
      </c>
      <c r="B84" s="16" t="inlineStr">
        <is>
          <t>EndReason</t>
        </is>
      </c>
      <c r="C84" s="16" t="inlineStr">
        <is>
          <t>1</t>
        </is>
      </c>
      <c r="D84" s="16" t="inlineStr">
        <is>
          <t>0x00..0x03</t>
        </is>
      </c>
      <c r="E84" s="16" t="inlineStr">
        <is>
          <t>none/complete/skip/appEnd</t>
        </is>
      </c>
      <c r="F84" s="16" t="inlineStr">
        <is>
          <t>见枚举页</t>
        </is>
      </c>
    </row>
    <row r="85" ht="24" customHeight="1" s="3">
      <c r="A85" s="20" t="inlineStr">
        <is>
          <t>Payload 总长</t>
        </is>
      </c>
      <c r="B85" s="20" t="inlineStr">
        <is>
          <t>37+N</t>
        </is>
      </c>
      <c r="C85" s="20" t="inlineStr">
        <is>
          <t>完整帧长</t>
        </is>
      </c>
      <c r="D85" s="20" t="inlineStr">
        <is>
          <t>39+N</t>
        </is>
      </c>
      <c r="E85" s="20" t="inlineStr">
        <is>
          <t>传输</t>
        </is>
      </c>
      <c r="F85" s="20" t="inlineStr">
        <is>
          <t>简单事件包：Type(1)+Length(1)+Payload</t>
        </is>
      </c>
    </row>
    <row r="86" ht="24" customHeight="1" s="3"/>
    <row r="87" ht="24" customHeight="1" s="3">
      <c r="A87" s="138" t="inlineStr">
        <is>
          <t>八、重连同步顺序</t>
        </is>
      </c>
      <c r="B87" s="153" t="n"/>
      <c r="C87" s="153" t="n"/>
      <c r="D87" s="153" t="n"/>
      <c r="E87" s="153" t="n"/>
      <c r="F87" s="154" t="n"/>
    </row>
    <row r="88" ht="24" customHeight="1" s="3">
      <c r="A88" s="15" t="inlineStr">
        <is>
          <t>步骤</t>
        </is>
      </c>
      <c r="B88" s="15" t="inlineStr">
        <is>
          <t>触发</t>
        </is>
      </c>
      <c r="C88" s="15" t="inlineStr">
        <is>
          <t>设备发送/处理</t>
        </is>
      </c>
      <c r="D88" s="15" t="inlineStr">
        <is>
          <t>App 发送/处理</t>
        </is>
      </c>
      <c r="E88" s="15" t="inlineStr">
        <is>
          <t>完成条件</t>
        </is>
      </c>
      <c r="F88" s="15" t="inlineStr">
        <is>
          <t>禁止行为</t>
        </is>
      </c>
    </row>
    <row r="89" ht="38.1" customHeight="1" s="3">
      <c r="A89" s="16" t="inlineStr">
        <is>
          <t>1</t>
        </is>
      </c>
      <c r="B89" s="16" t="inlineStr">
        <is>
          <t>Notify Enabled</t>
        </is>
      </c>
      <c r="C89" s="16" t="inlineStr">
        <is>
          <t>发送 DeviceWake</t>
        </is>
      </c>
      <c r="D89" s="16" t="inlineStr">
        <is>
          <t>建立本次连接上下文</t>
        </is>
      </c>
      <c r="E89" s="16" t="inlineStr">
        <is>
          <t>DeviceWake 已接收</t>
        </is>
      </c>
      <c r="F89" s="16" t="inlineStr">
        <is>
          <t>立即下发旧 0x14</t>
        </is>
      </c>
    </row>
    <row r="90" ht="38.1" customHeight="1" s="3">
      <c r="A90" s="17" t="inlineStr">
        <is>
          <t>2</t>
        </is>
      </c>
      <c r="B90" s="17" t="inlineStr">
        <is>
          <t>DeviceWake 后</t>
        </is>
      </c>
      <c r="C90" s="17" t="inlineStr">
        <is>
          <t>发送 OfflineSync STATE</t>
        </is>
      </c>
      <c r="D90" s="17" t="inlineStr">
        <is>
          <t>检查 PendingCount/FocusSyncPending</t>
        </is>
      </c>
      <c r="E90" s="17" t="inlineStr">
        <is>
          <t>STATE 已解析</t>
        </is>
      </c>
      <c r="F90" s="17" t="inlineStr">
        <is>
          <t>跳过待补报检查</t>
        </is>
      </c>
    </row>
    <row r="91" ht="38.1" customHeight="1" s="3">
      <c r="A91" s="16" t="inlineStr">
        <is>
          <t>3</t>
        </is>
      </c>
      <c r="B91" s="16" t="inlineStr">
        <is>
          <t>存在或曾存在会话</t>
        </is>
      </c>
      <c r="C91" s="16" t="inlineStr">
        <is>
          <t>发送 FOCUS_STATE</t>
        </is>
      </c>
      <c r="D91" s="16" t="inlineStr">
        <is>
          <t>冻结普通 FocusStatus 下发</t>
        </is>
      </c>
      <c r="E91" s="16" t="inlineStr">
        <is>
          <t>快照已接收</t>
        </is>
      </c>
      <c r="F91" s="16" t="inlineStr">
        <is>
          <t>用 App idle 覆盖设备 active</t>
        </is>
      </c>
    </row>
    <row r="92" ht="38.1" customHeight="1" s="3">
      <c r="A92" s="17" t="inlineStr">
        <is>
          <t>4</t>
        </is>
      </c>
      <c r="B92" s="17" t="inlineStr">
        <is>
          <t>PendingCount&gt;0</t>
        </is>
      </c>
      <c r="C92" s="17" t="inlineStr">
        <is>
          <t>按 OperationID 发送 OP_BATCH</t>
        </is>
      </c>
      <c r="D92" s="17" t="inlineStr">
        <is>
          <t>幂等、顺序处理完整批次</t>
        </is>
      </c>
      <c r="E92" s="17" t="inlineStr">
        <is>
          <t>连续处理到最大 ID</t>
        </is>
      </c>
      <c r="F92" s="17" t="inlineStr">
        <is>
          <t>部分失败仍越级 ACK</t>
        </is>
      </c>
    </row>
    <row r="93" ht="38.1" customHeight="1" s="3">
      <c r="A93" s="140" t="inlineStr">
        <is>
          <t>5</t>
        </is>
      </c>
      <c r="B93" s="141" t="inlineStr">
        <is>
          <t>操作处理完成</t>
        </is>
      </c>
      <c r="C93" s="141" t="inlineStr">
        <is>
          <t>收到 FOCUS_RESOLVE 后返回 RESULT</t>
        </is>
      </c>
      <c r="D93" s="141" t="inlineStr">
        <is>
          <t>发送 OP_ACK（如有）+ FOCUS_RESOLVE</t>
        </is>
      </c>
      <c r="E93" s="141" t="inlineStr">
        <is>
          <t>收到匹配 ResolveID 的 RESULT/COMMITTED</t>
        </is>
      </c>
      <c r="F93" s="141" t="inlineStr">
        <is>
          <t>先删队列后确认</t>
        </is>
      </c>
    </row>
    <row r="94" ht="38.1" customHeight="1" s="3">
      <c r="A94" s="142" t="inlineStr">
        <is>
          <t>6</t>
        </is>
      </c>
      <c r="B94" s="142" t="inlineStr">
        <is>
          <t>收到 RESULT/COMMITTED</t>
        </is>
      </c>
      <c r="C94" s="142" t="inlineStr">
        <is>
          <t>应用权威状态并恢复心跳</t>
        </is>
      </c>
      <c r="D94" s="142" t="inlineStr">
        <is>
          <t>解除 focusSyncLocked，恢复普通业务同步</t>
        </is>
      </c>
      <c r="E94" s="142" t="inlineStr">
        <is>
          <t>ResolveID / TargetType / ResultCode 均匹配</t>
        </is>
      </c>
      <c r="F94" s="142" t="inlineStr">
        <is>
          <t>立即发送 OfflineSync COMMIT；重复创建或结算</t>
        </is>
      </c>
    </row>
    <row r="95" ht="38.1" customHeight="1" s="3">
      <c r="A95" s="142" t="inlineStr">
        <is>
          <t>7</t>
        </is>
      </c>
      <c r="B95" s="142" t="inlineStr">
        <is>
          <t>业务数据变化</t>
        </is>
      </c>
      <c r="C95" s="142" t="inlineStr">
        <is>
          <t>普通 0x10 只更新后台数据，不退出 TaskIn</t>
        </is>
      </c>
      <c r="D95" s="142" t="inlineStr">
        <is>
          <t>按需发送普通 DayPack；活动专注期间不发 COMMIT</t>
        </is>
      </c>
      <c r="E95" s="142" t="inlineStr">
        <is>
          <t>独立业务同步</t>
        </is>
      </c>
      <c r="F95" s="142" t="inlineStr">
        <is>
          <t>用 DayPack/COMMIT 驱动 TaskIn 退出</t>
        </is>
      </c>
    </row>
    <row r="96" ht="24" customHeight="1" s="3"/>
    <row r="97" ht="24" customHeight="1" s="3">
      <c r="A97" s="112" t="inlineStr">
        <is>
          <t>九、状态冲突裁决</t>
        </is>
      </c>
      <c r="B97" s="153" t="n"/>
      <c r="C97" s="153" t="n"/>
      <c r="D97" s="153" t="n"/>
      <c r="E97" s="153" t="n"/>
      <c r="F97" s="154" t="n"/>
    </row>
    <row r="98" ht="24" customHeight="1" s="3">
      <c r="A98" s="15" t="inlineStr">
        <is>
          <t>设备状态</t>
        </is>
      </c>
      <c r="B98" s="15" t="inlineStr">
        <is>
          <t>App 状态</t>
        </is>
      </c>
      <c r="C98" s="15" t="inlineStr">
        <is>
          <t>裁决结果</t>
        </is>
      </c>
      <c r="D98" s="15" t="inlineStr">
        <is>
          <t>权威开始时间</t>
        </is>
      </c>
      <c r="E98" s="15" t="inlineStr">
        <is>
          <t>权威结束时间</t>
        </is>
      </c>
      <c r="F98" s="15" t="inlineStr">
        <is>
          <t>结算/页面行为</t>
        </is>
      </c>
    </row>
    <row r="99" ht="38.1" customHeight="1" s="3">
      <c r="A99" s="16" t="inlineStr">
        <is>
          <t>离线新进入且 active</t>
        </is>
      </c>
      <c r="B99" s="16" t="inlineStr">
        <is>
          <t>idle</t>
        </is>
      </c>
      <c r="C99" s="16" t="inlineStr">
        <is>
          <t>接受设备会话</t>
        </is>
      </c>
      <c r="D99" s="16" t="inlineStr">
        <is>
          <t>设备 start</t>
        </is>
      </c>
      <c r="E99" s="16" t="inlineStr">
        <is>
          <t>0</t>
        </is>
      </c>
      <c r="F99" s="16" t="inlineStr">
        <is>
          <t>App 立即开启挡板；设备保持当前页</t>
        </is>
      </c>
    </row>
    <row r="100" ht="38.1" customHeight="1" s="3">
      <c r="A100" s="17" t="inlineStr">
        <is>
          <t>离线 start 后已 end</t>
        </is>
      </c>
      <c r="B100" s="17" t="inlineStr">
        <is>
          <t>idle</t>
        </is>
      </c>
      <c r="C100" s="17" t="inlineStr">
        <is>
          <t>生成一次历史会话</t>
        </is>
      </c>
      <c r="D100" s="17" t="inlineStr">
        <is>
          <t>设备 start</t>
        </is>
      </c>
      <c r="E100" s="17" t="inlineStr">
        <is>
          <t>设备 end</t>
        </is>
      </c>
      <c r="F100" s="17" t="inlineStr">
        <is>
          <t>不闪开挡板；只结算一次</t>
        </is>
      </c>
    </row>
    <row r="101" ht="38.1" customHeight="1" s="3">
      <c r="A101" s="16" t="inlineStr">
        <is>
          <t>线上会话仍 active</t>
        </is>
      </c>
      <c r="B101" s="16" t="inlineStr">
        <is>
          <t>同一会话 active</t>
        </is>
      </c>
      <c r="C101" s="16" t="inlineStr">
        <is>
          <t>保持原会话</t>
        </is>
      </c>
      <c r="D101" s="16" t="inlineStr">
        <is>
          <t>App 原 start</t>
        </is>
      </c>
      <c r="E101" s="16" t="inlineStr">
        <is>
          <t>0</t>
        </is>
      </c>
      <c r="F101" s="16" t="inlineStr">
        <is>
          <t>设备对齐 App；不重发 start</t>
        </is>
      </c>
    </row>
    <row r="102" ht="38.1" customHeight="1" s="3">
      <c r="A102" s="17" t="inlineStr">
        <is>
          <t>设备已 end</t>
        </is>
      </c>
      <c r="B102" s="17" t="inlineStr">
        <is>
          <t>同一会话 active</t>
        </is>
      </c>
      <c r="C102" s="17" t="inlineStr">
        <is>
          <t>结束优先</t>
        </is>
      </c>
      <c r="D102" s="17" t="inlineStr">
        <is>
          <t>原 start</t>
        </is>
      </c>
      <c r="E102" s="17" t="inlineStr">
        <is>
          <t>设备 end</t>
        </is>
      </c>
      <c r="F102" s="17" t="inlineStr">
        <is>
          <t>App 撤挡板并结算</t>
        </is>
      </c>
    </row>
    <row r="103" ht="38.1" customHeight="1" s="3">
      <c r="A103" s="16" t="inlineStr">
        <is>
          <t>设备 active</t>
        </is>
      </c>
      <c r="B103" s="16" t="inlineStr">
        <is>
          <t>同一会话已 end</t>
        </is>
      </c>
      <c r="C103" s="16" t="inlineStr">
        <is>
          <t>结束优先</t>
        </is>
      </c>
      <c r="D103" s="16" t="inlineStr">
        <is>
          <t>原 start</t>
        </is>
      </c>
      <c r="E103" s="16" t="inlineStr">
        <is>
          <t>App end</t>
        </is>
      </c>
      <c r="F103" s="16" t="inlineStr">
        <is>
          <t>设备立即退出并停止计时</t>
        </is>
      </c>
    </row>
    <row r="104" ht="38.1" customHeight="1" s="3">
      <c r="A104" s="17" t="inlineStr">
        <is>
          <t>双方都 end</t>
        </is>
      </c>
      <c r="B104" s="17" t="inlineStr">
        <is>
          <t>同一会话已 end</t>
        </is>
      </c>
      <c r="C104" s="17" t="inlineStr">
        <is>
          <t>保持结束</t>
        </is>
      </c>
      <c r="D104" s="17" t="inlineStr">
        <is>
          <t>原 start</t>
        </is>
      </c>
      <c r="E104" s="17" t="inlineStr">
        <is>
          <t>较早有效 end</t>
        </is>
      </c>
      <c r="F104" s="17" t="inlineStr">
        <is>
          <t>去重后仅结算一次</t>
        </is>
      </c>
    </row>
    <row r="105" ht="38.1" customHeight="1" s="3">
      <c r="A105" s="16" t="inlineStr">
        <is>
          <t>active，会话 ID 不同</t>
        </is>
      </c>
      <c r="B105" s="16" t="inlineStr">
        <is>
          <t>另一 active 会话</t>
        </is>
      </c>
      <c r="C105" s="16" t="inlineStr">
        <is>
          <t>设备待同步 Start 优先，关闭旧 App 会话</t>
        </is>
      </c>
      <c r="D105" s="16" t="inlineStr">
        <is>
          <t>设备 start</t>
        </is>
      </c>
      <c r="E105" s="16" t="inlineStr">
        <is>
          <t>旧会话截断到设备 start</t>
        </is>
      </c>
      <c r="F105" s="16" t="inlineStr">
        <is>
          <t>记录 conflictResolved 日志</t>
        </is>
      </c>
    </row>
    <row r="106" ht="24" customHeight="1" s="3"/>
    <row r="107" ht="24" customHeight="1" s="3"/>
    <row r="108" ht="24" customHeight="1" s="3">
      <c r="A108" s="112" t="inlineStr">
        <is>
          <t>十、时间、幂等与可靠性</t>
        </is>
      </c>
      <c r="B108" s="153" t="n"/>
      <c r="C108" s="153" t="n"/>
      <c r="D108" s="153" t="n"/>
      <c r="E108" s="153" t="n"/>
      <c r="F108" s="154" t="n"/>
    </row>
    <row r="109" ht="24" customHeight="1" s="3">
      <c r="A109" s="15" t="inlineStr">
        <is>
          <t>主题</t>
        </is>
      </c>
      <c r="B109" s="15" t="inlineStr">
        <is>
          <t>规则</t>
        </is>
      </c>
      <c r="C109" s="15" t="inlineStr">
        <is>
          <t>正常阈值</t>
        </is>
      </c>
      <c r="D109" s="15" t="inlineStr">
        <is>
          <t>异常处理</t>
        </is>
      </c>
      <c r="E109" s="15" t="inlineStr">
        <is>
          <t>设备要求</t>
        </is>
      </c>
      <c r="F109" s="15" t="inlineStr">
        <is>
          <t>App 要求</t>
        </is>
      </c>
    </row>
    <row r="110" ht="45.95" customHeight="1" s="3">
      <c r="A110" s="16" t="inlineStr">
        <is>
          <t>计时精度</t>
        </is>
      </c>
      <c r="B110" s="16" t="inlineStr">
        <is>
          <t>协议统一传秒，不使用分钟做重连裁决</t>
        </is>
      </c>
      <c r="C110" s="16" t="inlineStr">
        <is>
          <t>差值 ≤120 秒</t>
        </is>
      </c>
      <c r="D110" s="16" t="inlineStr">
        <is>
          <t>差值&gt;120秒记录异常但不创建新会话</t>
        </is>
      </c>
      <c r="E110" s="16" t="inlineStr">
        <is>
          <t>保留本地单调 elapsed</t>
        </is>
      </c>
      <c r="F110" s="16" t="inlineStr">
        <is>
          <t>按会话来源选择 start</t>
        </is>
      </c>
    </row>
    <row r="111" ht="45.95" customHeight="1" s="3">
      <c r="A111" s="17" t="inlineStr">
        <is>
          <t>瓶子/阶段</t>
        </is>
      </c>
      <c r="B111" s="17" t="inlineStr">
        <is>
          <t>按权威 elapsed 重新计算</t>
        </is>
      </c>
      <c r="C111" s="17" t="inlineStr">
        <is>
          <t>同规则结果一致</t>
        </is>
      </c>
      <c r="D111" s="17" t="inlineStr">
        <is>
          <t>不允许双方相加</t>
        </is>
      </c>
      <c r="E111" s="17" t="inlineStr">
        <is>
          <t>裁决前可显示本地值</t>
        </is>
      </c>
      <c r="F111" s="17" t="inlineStr">
        <is>
          <t>裁决后下发最终值</t>
        </is>
      </c>
    </row>
    <row r="112" ht="45.95" customHeight="1" s="3">
      <c r="A112" s="16" t="inlineStr">
        <is>
          <t>幂等键</t>
        </is>
      </c>
      <c r="B112" s="16" t="inlineStr">
        <is>
          <t>DeviceId+BootSessionId+OperationID</t>
        </is>
      </c>
      <c r="C112" s="16" t="inlineStr">
        <is>
          <t>全局唯一</t>
        </is>
      </c>
      <c r="D112" s="16" t="inlineStr">
        <is>
          <t>重复 payload 不重复执行</t>
        </is>
      </c>
      <c r="E112" s="16" t="inlineStr">
        <is>
          <t>重试复用原字节</t>
        </is>
      </c>
      <c r="F112" s="16" t="inlineStr">
        <is>
          <t>账本去重</t>
        </is>
      </c>
    </row>
    <row r="113" ht="45.95" customHeight="1" s="3">
      <c r="A113" s="17" t="inlineStr">
        <is>
          <t>会话键</t>
        </is>
      </c>
      <c r="B113" s="17" t="inlineStr">
        <is>
          <t>FocusSessionId=BootSessionId+StartOperationID</t>
        </is>
      </c>
      <c r="C113" s="17" t="inlineStr">
        <is>
          <t>8B 固定</t>
        </is>
      </c>
      <c r="D113" s="17" t="inlineStr">
        <is>
          <t>不允许复用</t>
        </is>
      </c>
      <c r="E113" s="17" t="inlineStr">
        <is>
          <t>本地持久保存</t>
        </is>
      </c>
      <c r="F113" s="17" t="inlineStr">
        <is>
          <t>所有起止/结算绑定会话</t>
        </is>
      </c>
    </row>
    <row r="114" ht="45.95" customHeight="1" s="3">
      <c r="A114" s="16" t="inlineStr">
        <is>
          <t>ACK</t>
        </is>
      </c>
      <c r="B114" s="16" t="inlineStr">
        <is>
          <t>仅 ACK 连续成功处理的最大 OperationID</t>
        </is>
      </c>
      <c r="C114" s="16" t="inlineStr">
        <is>
          <t>累计 ACK</t>
        </is>
      </c>
      <c r="D114" s="16" t="inlineStr">
        <is>
          <t>缺口后停止 ACK</t>
        </is>
      </c>
      <c r="E114" s="16" t="inlineStr">
        <is>
          <t>仅删除已 ACK 记录</t>
        </is>
      </c>
      <c r="F114" s="16" t="inlineStr">
        <is>
          <t>不可越过失败记录</t>
        </is>
      </c>
    </row>
    <row r="115" ht="45.95" customHeight="1" s="3">
      <c r="A115" s="17" t="inlineStr">
        <is>
          <t>持久化</t>
        </is>
      </c>
      <c r="B115" s="17" t="inlineStr">
        <is>
          <t>未确认操作和当前专注状态跨重启保留</t>
        </is>
      </c>
      <c r="C115" s="17" t="inlineStr">
        <is>
          <t>队列建议 64</t>
        </is>
      </c>
      <c r="D115" s="17" t="inlineStr">
        <is>
          <t>溢出置 OperationOverflow+NeedsFullSync</t>
        </is>
      </c>
      <c r="E115" s="17" t="inlineStr">
        <is>
          <t>不得静默丢弃</t>
        </is>
      </c>
      <c r="F115" s="17" t="inlineStr">
        <is>
          <t>执行完整状态核对</t>
        </is>
      </c>
    </row>
  </sheetData>
  <mergeCells count="17">
    <mergeCell ref="A54:F54"/>
    <mergeCell ref="A2:F2"/>
    <mergeCell ref="A33:F33"/>
    <mergeCell ref="A42:F42"/>
    <mergeCell ref="A108:F108"/>
    <mergeCell ref="A19:F19"/>
    <mergeCell ref="A1:F1"/>
    <mergeCell ref="A70:F70"/>
    <mergeCell ref="A32:F32"/>
    <mergeCell ref="A97:F97"/>
    <mergeCell ref="A12:F12"/>
    <mergeCell ref="A4:F4"/>
    <mergeCell ref="A18:F18"/>
    <mergeCell ref="A53:F53"/>
    <mergeCell ref="A69:F69"/>
    <mergeCell ref="A87:F87"/>
    <mergeCell ref="A43:F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topLeftCell="A43" workbookViewId="0">
      <selection activeCell="L15" sqref="L15"/>
    </sheetView>
  </sheetViews>
  <sheetFormatPr baseColWidth="8" defaultRowHeight="14.25"/>
  <cols>
    <col width="15" customWidth="1" style="3" min="1" max="1"/>
    <col width="23" customWidth="1" style="3" min="2" max="2"/>
    <col width="20" customWidth="1" style="3" min="3" max="3"/>
    <col width="28" customWidth="1" style="3" min="4" max="4"/>
    <col width="39" customWidth="1" style="3" min="5" max="5"/>
    <col width="56" customWidth="1" style="3" min="6" max="6"/>
    <col width="9" customWidth="1" style="3" min="7" max="16384"/>
  </cols>
  <sheetData>
    <row r="1" ht="30" customHeight="1" s="3">
      <c r="A1" s="159" t="inlineStr">
        <is>
          <t>Schedule v2（0x03）完整日程协议 · Ver 1.3.0</t>
        </is>
      </c>
      <c r="B1" s="160" t="n"/>
      <c r="C1" s="160" t="n"/>
      <c r="D1" s="160" t="n"/>
      <c r="E1" s="160" t="n"/>
      <c r="F1" s="161" t="n"/>
    </row>
    <row r="2" ht="33.95" customHeight="1" s="3">
      <c r="A2" s="162" t="inlineStr">
        <is>
          <t>App → Device｜Big Endian｜简单包或现有 11 字节分包｜完整快照原子应用｜所有长度均按 UTF-8 字节数计算</t>
        </is>
      </c>
      <c r="B2" s="163" t="n"/>
      <c r="C2" s="163" t="n"/>
      <c r="D2" s="163" t="n"/>
      <c r="E2" s="163" t="n"/>
      <c r="F2" s="164" t="n"/>
    </row>
    <row r="3" ht="16.5" customHeight="1" s="3">
      <c r="A3" s="10" t="n"/>
      <c r="B3" s="10" t="n"/>
      <c r="C3" s="10" t="n"/>
      <c r="D3" s="10" t="n"/>
      <c r="E3" s="10" t="n"/>
      <c r="F3" s="10" t="n"/>
    </row>
    <row r="4" ht="24" customHeight="1" s="3">
      <c r="A4" s="114" t="inlineStr">
        <is>
          <t>一、Payload 字段偏移</t>
        </is>
      </c>
      <c r="B4" s="160" t="n"/>
      <c r="C4" s="160" t="n"/>
      <c r="D4" s="160" t="n"/>
      <c r="E4" s="160" t="n"/>
      <c r="F4" s="161" t="n"/>
    </row>
    <row r="5" ht="30" customHeight="1" s="3">
      <c r="A5" s="115" t="inlineStr">
        <is>
          <t>偏移</t>
        </is>
      </c>
      <c r="B5" s="115" t="inlineStr">
        <is>
          <t>字段</t>
        </is>
      </c>
      <c r="C5" s="115" t="inlineStr">
        <is>
          <t>大小</t>
        </is>
      </c>
      <c r="D5" s="115" t="inlineStr">
        <is>
          <t>取值 / 上限</t>
        </is>
      </c>
      <c r="E5" s="115" t="inlineStr">
        <is>
          <t>App 发送要求</t>
        </is>
      </c>
      <c r="F5" s="115" t="inlineStr">
        <is>
          <t>设备校验与说明</t>
        </is>
      </c>
    </row>
    <row r="6" ht="39.95" customHeight="1" s="3">
      <c r="A6" s="113" t="n">
        <v>0</v>
      </c>
      <c r="B6" s="113" t="inlineStr">
        <is>
          <t>SubVersion</t>
        </is>
      </c>
      <c r="C6" s="113" t="n">
        <v>1</v>
      </c>
      <c r="D6" s="113" t="inlineStr">
        <is>
          <t>固定 0x02</t>
        </is>
      </c>
      <c r="E6" s="113" t="inlineStr">
        <is>
          <t>必须显式发送</t>
        </is>
      </c>
      <c r="F6" s="113" t="inlineStr">
        <is>
          <t>不是 0x02 或缺失时严格拒绝整包</t>
        </is>
      </c>
    </row>
    <row r="7" ht="39.95" customHeight="1" s="3">
      <c r="A7" s="113" t="n">
        <v>1</v>
      </c>
      <c r="B7" s="113" t="inlineStr">
        <is>
          <t>Year</t>
        </is>
      </c>
      <c r="C7" s="113" t="n">
        <v>1</v>
      </c>
      <c r="D7" s="113" t="inlineStr">
        <is>
          <t>0–99</t>
        </is>
      </c>
      <c r="E7" s="113" t="inlineStr">
        <is>
          <t>公历年份减 2000</t>
        </is>
      </c>
      <c r="F7" s="113" t="inlineStr">
        <is>
          <t>与 Month、Day 组成有效日期</t>
        </is>
      </c>
    </row>
    <row r="8" ht="39.95" customHeight="1" s="3">
      <c r="A8" s="113" t="n">
        <v>2</v>
      </c>
      <c r="B8" s="113" t="inlineStr">
        <is>
          <t>Month</t>
        </is>
      </c>
      <c r="C8" s="113" t="n">
        <v>1</v>
      </c>
      <c r="D8" s="113" t="inlineStr">
        <is>
          <t>1–12</t>
        </is>
      </c>
      <c r="E8" s="113" t="inlineStr">
        <is>
          <t>发送日程归属月份</t>
        </is>
      </c>
      <c r="F8" s="113" t="inlineStr">
        <is>
          <t>超范围拒绝</t>
        </is>
      </c>
    </row>
    <row r="9" ht="39.95" customHeight="1" s="3">
      <c r="A9" s="113" t="n">
        <v>3</v>
      </c>
      <c r="B9" s="113" t="inlineStr">
        <is>
          <t>Day</t>
        </is>
      </c>
      <c r="C9" s="113" t="n">
        <v>1</v>
      </c>
      <c r="D9" s="113" t="inlineStr">
        <is>
          <t>有效日</t>
        </is>
      </c>
      <c r="E9" s="113" t="inlineStr">
        <is>
          <t>发送日程归属日期</t>
        </is>
      </c>
      <c r="F9" s="113" t="inlineStr">
        <is>
          <t>必须与 Year、Month 组成有效日期</t>
        </is>
      </c>
    </row>
    <row r="10" ht="39.95" customHeight="1" s="3">
      <c r="A10" s="113" t="n">
        <v>4</v>
      </c>
      <c r="B10" s="113" t="inlineStr">
        <is>
          <t>EventCount</t>
        </is>
      </c>
      <c r="C10" s="113" t="n">
        <v>1</v>
      </c>
      <c r="D10" s="113" t="inlineStr">
        <is>
          <t>0–8</t>
        </is>
      </c>
      <c r="E10" s="113" t="inlineStr">
        <is>
          <t>后续 Event 数量必须一致</t>
        </is>
      </c>
      <c r="F10" s="113" t="inlineStr">
        <is>
          <t>数量或剩余字节不一致时拒绝整包</t>
        </is>
      </c>
    </row>
    <row r="11" ht="39.95" customHeight="1" s="3">
      <c r="A11" s="113" t="inlineStr">
        <is>
          <t>5+</t>
        </is>
      </c>
      <c r="B11" s="113" t="inlineStr">
        <is>
          <t>Events[]</t>
        </is>
      </c>
      <c r="C11" s="113" t="inlineStr">
        <is>
          <t>变长</t>
        </is>
      </c>
      <c r="D11" s="113" t="inlineStr">
        <is>
          <t>见下表</t>
        </is>
      </c>
      <c r="E11" s="113" t="inlineStr">
        <is>
          <t>连续编码 EventCount 条记录</t>
        </is>
      </c>
      <c r="F11" s="113" t="inlineStr">
        <is>
          <t>完整解析成功后一次性应用，不部分更新</t>
        </is>
      </c>
    </row>
    <row r="12" ht="16.5" customHeight="1" s="3">
      <c r="A12" s="10" t="n"/>
      <c r="B12" s="10" t="n"/>
      <c r="C12" s="10" t="n"/>
      <c r="D12" s="10" t="n"/>
      <c r="E12" s="10" t="n"/>
      <c r="F12" s="10" t="n"/>
    </row>
    <row r="13" ht="24" customHeight="1" s="3">
      <c r="A13" s="114" t="inlineStr">
        <is>
          <t>二、Event 字段顺序（固定为六字段）</t>
        </is>
      </c>
      <c r="B13" s="160" t="n"/>
      <c r="C13" s="160" t="n"/>
      <c r="D13" s="160" t="n"/>
      <c r="E13" s="160" t="n"/>
      <c r="F13" s="161" t="n"/>
    </row>
    <row r="14" ht="30" customHeight="1" s="3">
      <c r="A14" s="115" t="inlineStr">
        <is>
          <t>顺序</t>
        </is>
      </c>
      <c r="B14" s="115" t="inlineStr">
        <is>
          <t>字段</t>
        </is>
      </c>
      <c r="C14" s="115" t="inlineStr">
        <is>
          <t>编码</t>
        </is>
      </c>
      <c r="D14" s="115" t="inlineStr">
        <is>
          <t>长度 / 枚举</t>
        </is>
      </c>
      <c r="E14" s="115" t="inlineStr">
        <is>
          <t>是否可空</t>
        </is>
      </c>
      <c r="F14" s="115" t="inlineStr">
        <is>
          <t>规则</t>
        </is>
      </c>
    </row>
    <row r="15" ht="42" customHeight="1" s="3">
      <c r="A15" s="113" t="n">
        <v>1</v>
      </c>
      <c r="B15" s="113" t="inlineStr">
        <is>
          <t>Time</t>
        </is>
      </c>
      <c r="C15" s="113" t="inlineStr">
        <is>
          <t>Length(1) + UTF-8(T)</t>
        </is>
      </c>
      <c r="D15" s="113" t="inlineStr">
        <is>
          <t>T=0 或 5</t>
        </is>
      </c>
      <c r="E15" s="113" t="inlineStr">
        <is>
          <t>全天事件可空</t>
        </is>
      </c>
      <c r="F15" s="113" t="inlineStr">
        <is>
          <t>非空时必须为 HH:mm</t>
        </is>
      </c>
    </row>
    <row r="16" ht="42" customHeight="1" s="3">
      <c r="A16" s="113" t="n">
        <v>2</v>
      </c>
      <c r="B16" s="113" t="inlineStr">
        <is>
          <t>Title</t>
        </is>
      </c>
      <c r="C16" s="113" t="inlineStr">
        <is>
          <t>Length(1) + UTF-8(N)</t>
        </is>
      </c>
      <c r="D16" s="113" t="inlineStr">
        <is>
          <t>1≤N≤40</t>
        </is>
      </c>
      <c r="E16" s="113" t="inlineStr">
        <is>
          <t>不可空</t>
        </is>
      </c>
      <c r="F16" s="113" t="inlineStr">
        <is>
          <t>日程标题</t>
        </is>
      </c>
    </row>
    <row r="17" ht="42" customHeight="1" s="3">
      <c r="A17" s="113" t="n">
        <v>3</v>
      </c>
      <c r="B17" s="113" t="inlineStr">
        <is>
          <t>Description</t>
        </is>
      </c>
      <c r="C17" s="113" t="inlineStr">
        <is>
          <t>Length(1) + UTF-8(D)</t>
        </is>
      </c>
      <c r="D17" s="113" t="inlineStr">
        <is>
          <t>1≤D≤120</t>
        </is>
      </c>
      <c r="E17" s="113" t="inlineStr">
        <is>
          <t>不可空</t>
        </is>
      </c>
      <c r="F17" s="113" t="inlineStr">
        <is>
          <t>必须提供可见日程描述，禁止只有标题</t>
        </is>
      </c>
    </row>
    <row r="18" ht="42" customHeight="1" s="3">
      <c r="A18" s="113" t="n">
        <v>4</v>
      </c>
      <c r="B18" s="113" t="inlineStr">
        <is>
          <t>Category</t>
        </is>
      </c>
      <c r="C18" s="113" t="inlineStr">
        <is>
          <t>uint8</t>
        </is>
      </c>
      <c r="D18" s="113" t="inlineStr">
        <is>
          <t>0x00–0x06</t>
        </is>
      </c>
      <c r="E18" s="113" t="inlineStr">
        <is>
          <t>不可空</t>
        </is>
      </c>
      <c r="F18" s="113" t="inlineStr">
        <is>
          <t>超出枚举范围拒绝整包</t>
        </is>
      </c>
    </row>
    <row r="19" ht="42" customHeight="1" s="3">
      <c r="A19" s="113" t="n">
        <v>5</v>
      </c>
      <c r="B19" s="113" t="inlineStr">
        <is>
          <t>EndTime</t>
        </is>
      </c>
      <c r="C19" s="113" t="inlineStr">
        <is>
          <t>Length(1) + UTF-8(E)</t>
        </is>
      </c>
      <c r="D19" s="113" t="inlineStr">
        <is>
          <t>E=0 或 5</t>
        </is>
      </c>
      <c r="E19" s="113" t="inlineStr">
        <is>
          <t>全天事件可空</t>
        </is>
      </c>
      <c r="F19" s="113" t="inlineStr">
        <is>
          <t>定时事件必须为 HH:mm 且晚于 Time；不支持跨午夜</t>
        </is>
      </c>
    </row>
    <row r="20" ht="42" customHeight="1" s="3">
      <c r="A20" s="113" t="n">
        <v>6</v>
      </c>
      <c r="B20" s="113" t="inlineStr">
        <is>
          <t>SupportText</t>
        </is>
      </c>
      <c r="C20" s="113" t="inlineStr">
        <is>
          <t>Length(1) + UTF-8(S)</t>
        </is>
      </c>
      <c r="D20" s="113" t="inlineStr">
        <is>
          <t>0≤S≤120</t>
        </is>
      </c>
      <c r="E20" s="113" t="inlineStr">
        <is>
          <t>可空</t>
        </is>
      </c>
      <c r="F20" s="113" t="inlineStr">
        <is>
          <t>辅助文案；空字符串编码为 0x00</t>
        </is>
      </c>
    </row>
    <row r="21" ht="16.5" customHeight="1" s="3">
      <c r="A21" s="10" t="n"/>
      <c r="B21" s="10" t="n"/>
      <c r="C21" s="10" t="n"/>
      <c r="D21" s="10" t="n"/>
      <c r="E21" s="10" t="n"/>
      <c r="F21" s="10" t="n"/>
    </row>
    <row r="22" ht="24" customHeight="1" s="3">
      <c r="A22" s="114" t="inlineStr">
        <is>
          <t>三、长度、时间与兼容规则</t>
        </is>
      </c>
      <c r="B22" s="160" t="n"/>
      <c r="C22" s="160" t="n"/>
      <c r="D22" s="160" t="n"/>
      <c r="E22" s="160" t="n"/>
      <c r="F22" s="161" t="n"/>
    </row>
    <row r="23" ht="38.1" customHeight="1" s="3">
      <c r="A23" s="13" t="inlineStr">
        <is>
          <t>Schedule Payload</t>
        </is>
      </c>
      <c r="B23" s="113" t="inlineStr">
        <is>
          <t>5 + Σ(6 + T + N + D + E + S)</t>
        </is>
      </c>
      <c r="C23" s="165" t="n"/>
      <c r="D23" s="165" t="n"/>
      <c r="E23" s="165" t="n"/>
      <c r="F23" s="166" t="n"/>
    </row>
    <row r="24" ht="38.1" customHeight="1" s="3">
      <c r="A24" s="13" t="inlineStr">
        <is>
          <t>简单包完整帧</t>
        </is>
      </c>
      <c r="B24" s="113" t="inlineStr">
        <is>
          <t>Type(1) + Length(2, BE) + Payload，即 3 + Payload</t>
        </is>
      </c>
      <c r="C24" s="165" t="n"/>
      <c r="D24" s="165" t="n"/>
      <c r="E24" s="165" t="n"/>
      <c r="F24" s="166" t="n"/>
    </row>
    <row r="25" ht="38.1" customHeight="1" s="3">
      <c r="A25" s="13" t="inlineStr">
        <is>
          <t>定时事件</t>
        </is>
      </c>
      <c r="B25" s="113" t="inlineStr">
        <is>
          <t>Time 与 EndTime 均为 5 字节 HH:mm，且结束时间晚于开始时间</t>
        </is>
      </c>
      <c r="C25" s="165" t="n"/>
      <c r="D25" s="165" t="n"/>
      <c r="E25" s="165" t="n"/>
      <c r="F25" s="166" t="n"/>
    </row>
    <row r="26" ht="38.1" customHeight="1" s="3">
      <c r="A26" s="13" t="inlineStr">
        <is>
          <t>全天事件</t>
        </is>
      </c>
      <c r="B26" s="113" t="inlineStr">
        <is>
          <t>TimeLength=0 且 EndTimeLength=0；不得只将其中一个置空</t>
        </is>
      </c>
      <c r="C26" s="165" t="n"/>
      <c r="D26" s="165" t="n"/>
      <c r="E26" s="165" t="n"/>
      <c r="F26" s="166" t="n"/>
    </row>
    <row r="27" ht="38.1" customHeight="1" s="3">
      <c r="A27" s="13" t="inlineStr">
        <is>
          <t>跨午夜</t>
        </is>
      </c>
      <c r="B27" s="113" t="inlineStr">
        <is>
          <t>当前版本不支持；App 必须拆成两个日期内事件或不发送</t>
        </is>
      </c>
      <c r="C27" s="165" t="n"/>
      <c r="D27" s="165" t="n"/>
      <c r="E27" s="165" t="n"/>
      <c r="F27" s="166" t="n"/>
    </row>
    <row r="28" ht="38.1" customHeight="1" s="3">
      <c r="A28" s="13" t="inlineStr">
        <is>
          <t>旧版简化 Schedule</t>
        </is>
      </c>
      <c r="B28" s="113" t="inlineStr">
        <is>
          <t>EventCount + Title + StartTime 格式严格拒绝，不做猜测或降级解析</t>
        </is>
      </c>
      <c r="C28" s="165" t="n"/>
      <c r="D28" s="165" t="n"/>
      <c r="E28" s="165" t="n"/>
      <c r="F28" s="166" t="n"/>
    </row>
    <row r="29" ht="38.1" customHeight="1" s="3">
      <c r="A29" s="13" t="inlineStr">
        <is>
          <t>字符编码</t>
        </is>
      </c>
      <c r="B29" s="113" t="inlineStr">
        <is>
          <t>所有字符串均为 Length(1B) + UTF-8；Length 是字节数，不是字符数</t>
        </is>
      </c>
      <c r="C29" s="165" t="n"/>
      <c r="D29" s="165" t="n"/>
      <c r="E29" s="165" t="n"/>
      <c r="F29" s="166" t="n"/>
    </row>
    <row r="30" ht="16.5" customHeight="1" s="3">
      <c r="A30" s="10" t="n"/>
      <c r="B30" s="10" t="n"/>
      <c r="C30" s="10" t="n"/>
      <c r="D30" s="10" t="n"/>
      <c r="E30" s="10" t="n"/>
      <c r="F30" s="10" t="n"/>
    </row>
    <row r="31" ht="24" customHeight="1" s="3">
      <c r="A31" s="114" t="inlineStr">
        <is>
          <t>四、Schedule 与 DayPack 比较及覆盖顺序</t>
        </is>
      </c>
      <c r="B31" s="160" t="n"/>
      <c r="C31" s="160" t="n"/>
      <c r="D31" s="160" t="n"/>
      <c r="E31" s="160" t="n"/>
      <c r="F31" s="161" t="n"/>
    </row>
    <row r="32" ht="30" customHeight="1" s="3">
      <c r="A32" s="115" t="inlineStr">
        <is>
          <t>条件 / 顺序</t>
        </is>
      </c>
      <c r="B32" s="115" t="inlineStr">
        <is>
          <t>比较对象</t>
        </is>
      </c>
      <c r="C32" s="115" t="inlineStr">
        <is>
          <t>设备动作</t>
        </is>
      </c>
      <c r="D32" s="115" t="inlineStr">
        <is>
          <t>日程显示</t>
        </is>
      </c>
      <c r="E32" s="115" t="inlineStr">
        <is>
          <t>DayPack 其他字段</t>
        </is>
      </c>
      <c r="F32" s="115" t="inlineStr">
        <is>
          <t>App 约束</t>
        </is>
      </c>
    </row>
    <row r="33" ht="57.95" customHeight="1" s="3">
      <c r="A33" s="113" t="inlineStr">
        <is>
          <t>可见字段完全相同</t>
        </is>
      </c>
      <c r="B33" s="113" t="inlineStr">
        <is>
          <t>日期 + 每条 Time/Title/Description/Category/EndTime/SupportText，且顺序一致</t>
        </is>
      </c>
      <c r="C33" s="113" t="inlineStr">
        <is>
          <t>不替换、不触发刷新</t>
        </is>
      </c>
      <c r="D33" s="113" t="inlineStr">
        <is>
          <t>保持当前内容</t>
        </is>
      </c>
      <c r="E33" s="113" t="inlineStr">
        <is>
          <t>保持不变</t>
        </is>
      </c>
      <c r="F33" s="113" t="inlineStr">
        <is>
          <t>可不重复下发；若下发，结果仍应幂等</t>
        </is>
      </c>
    </row>
    <row r="34" ht="57.95" customHeight="1" s="3">
      <c r="A34" s="113" t="inlineStr">
        <is>
          <t>任一可见字段不同</t>
        </is>
      </c>
      <c r="B34" s="113" t="inlineStr">
        <is>
          <t>字段值、事件数或事件顺序任一不同</t>
        </is>
      </c>
      <c r="C34" s="113" t="inlineStr">
        <is>
          <t>完整 Schedule 原子替换日程与日期字段</t>
        </is>
      </c>
      <c r="D34" s="113" t="inlineStr">
        <is>
          <t>显示 Schedule 的完整描述</t>
        </is>
      </c>
      <c r="E34" s="113" t="inlineStr">
        <is>
          <t>PetDialogue、TopTasks、SettlementData、DaySummary、FirstUp 等保持不变</t>
        </is>
      </c>
      <c r="F34" s="113" t="inlineStr">
        <is>
          <t>必须发送完整快照，不发送局部补丁</t>
        </is>
      </c>
    </row>
    <row r="35" ht="57.95" customHeight="1" s="3">
      <c r="A35" s="113" t="inlineStr">
        <is>
          <t>普通连接内顺序</t>
        </is>
      </c>
      <c r="B35" s="113" t="inlineStr">
        <is>
          <t>DayPack 与 Schedule 均到达</t>
        </is>
      </c>
      <c r="C35" s="113" t="inlineStr">
        <is>
          <t>先应用到达的 DayPack；Schedule 校验成功后按上述规则比较</t>
        </is>
      </c>
      <c r="D35" s="113" t="inlineStr">
        <is>
          <t>Schedule 对日程字段最终优先</t>
        </is>
      </c>
      <c r="E35" s="113" t="inlineStr">
        <is>
          <t>DayPack 非日程字段继续生效</t>
        </is>
      </c>
      <c r="F35" s="113" t="inlineStr">
        <is>
          <t>不要用后到的旧 DayPack 覆盖已确认的 Schedule</t>
        </is>
      </c>
    </row>
    <row r="36" ht="57.95" customHeight="1" s="3">
      <c r="A36" s="113" t="inlineStr">
        <is>
          <t>OfflineSync 同批</t>
        </is>
      </c>
      <c r="B36" s="113" t="inlineStr">
        <is>
          <t>DatasetMask 同时含 bit1 Schedule 与 bit2 DayPack</t>
        </is>
      </c>
      <c r="C36" s="113" t="inlineStr">
        <is>
          <t>固定先应用 DayPack，再应用 Schedule</t>
        </is>
      </c>
      <c r="D36" s="113" t="inlineStr">
        <is>
          <t>Schedule 对日程可见字段最终优先</t>
        </is>
      </c>
      <c r="E36" s="113" t="inlineStr">
        <is>
          <t>DayPack 非日程字段保持</t>
        </is>
      </c>
      <c r="F36" s="113" t="inlineStr">
        <is>
          <t>批次提交前完成两者校验</t>
        </is>
      </c>
    </row>
    <row r="37" ht="16.5" customHeight="1" s="3">
      <c r="A37" s="10" t="n"/>
      <c r="B37" s="10" t="n"/>
      <c r="C37" s="10" t="n"/>
      <c r="D37" s="10" t="n"/>
      <c r="E37" s="10" t="n"/>
      <c r="F37" s="10" t="n"/>
    </row>
    <row r="38" ht="24" customHeight="1" s="3">
      <c r="A38" s="114" t="inlineStr">
        <is>
          <t>五、App 发送与分包要求</t>
        </is>
      </c>
      <c r="B38" s="160" t="n"/>
      <c r="C38" s="160" t="n"/>
      <c r="D38" s="160" t="n"/>
      <c r="E38" s="160" t="n"/>
      <c r="F38" s="161" t="n"/>
    </row>
    <row r="39" ht="44.1" customHeight="1" s="3">
      <c r="A39" s="13" t="inlineStr">
        <is>
          <t>完整性</t>
        </is>
      </c>
      <c r="B39" s="113" t="inlineStr">
        <is>
          <t>每次发送完整日期快照；EventCount、字段长度与剩余字节必须精确一致</t>
        </is>
      </c>
      <c r="C39" s="165" t="n"/>
      <c r="D39" s="165" t="n"/>
      <c r="E39" s="165" t="n"/>
      <c r="F39" s="166" t="n"/>
    </row>
    <row r="40" ht="44.1" customHeight="1" s="3">
      <c r="A40" s="13" t="inlineStr">
        <is>
          <t>简单包</t>
        </is>
      </c>
      <c r="B40" s="113" t="inlineStr">
        <is>
          <t>小 Payload 使用 Type(0x03) + Length(2B, BE) + 完整 Payload</t>
        </is>
      </c>
      <c r="C40" s="165" t="n"/>
      <c r="D40" s="165" t="n"/>
      <c r="E40" s="165" t="n"/>
      <c r="F40" s="166" t="n"/>
    </row>
    <row r="41" ht="44.1" customHeight="1" s="3">
      <c r="A41" s="13" t="inlineStr">
        <is>
          <t>11B 分包</t>
        </is>
      </c>
      <c r="B41" s="113" t="inlineStr">
        <is>
          <t>大 Payload 可使用 Type + MessageId(2) + Seq(2) + Total(2) + PayloadLen(2) + CRC16(2) + 片段 Payload</t>
        </is>
      </c>
      <c r="C41" s="165" t="n"/>
      <c r="D41" s="165" t="n"/>
      <c r="E41" s="165" t="n"/>
      <c r="F41" s="166" t="n"/>
    </row>
    <row r="42" ht="44.1" customHeight="1" s="3">
      <c r="A42" s="13" t="inlineStr">
        <is>
          <t>分包重组</t>
        </is>
      </c>
      <c r="B42" s="113" t="inlineStr">
        <is>
          <t>同一 MessageId；Seq 从 0 开始；重发从 Seq=0 整条重发；设备重组完成后再解析 Schedule v2</t>
        </is>
      </c>
      <c r="C42" s="165" t="n"/>
      <c r="D42" s="165" t="n"/>
      <c r="E42" s="165" t="n"/>
      <c r="F42" s="166" t="n"/>
    </row>
    <row r="43" ht="44.1" customHeight="1" s="3">
      <c r="A43" s="13" t="inlineStr">
        <is>
          <t>CRC</t>
        </is>
      </c>
      <c r="B43" s="113" t="inlineStr">
        <is>
          <t>每片 Payload 使用 CRC16-CCITT-FALSE：poly 0x1021、init 0xFFFF、xorout 0x0000、reflect false</t>
        </is>
      </c>
      <c r="C43" s="165" t="n"/>
      <c r="D43" s="165" t="n"/>
      <c r="E43" s="165" t="n"/>
      <c r="F43" s="166" t="n"/>
    </row>
    <row r="44" ht="44.1" customHeight="1" s="3">
      <c r="A44" s="13" t="inlineStr">
        <is>
          <t>失败处理</t>
        </is>
      </c>
      <c r="B44" s="113" t="inlineStr">
        <is>
          <t>任一字段、日期、枚举、时间、长度、CRC 或分包关系非法时拒绝整条消息，并保留现有日程</t>
        </is>
      </c>
      <c r="C44" s="165" t="n"/>
      <c r="D44" s="165" t="n"/>
      <c r="E44" s="165" t="n"/>
      <c r="F44" s="166" t="n"/>
    </row>
    <row r="45" ht="16.5" customHeight="1" s="3">
      <c r="A45" s="10" t="n"/>
      <c r="B45" s="10" t="n"/>
      <c r="C45" s="10" t="n"/>
      <c r="D45" s="10" t="n"/>
      <c r="E45" s="10" t="n"/>
      <c r="F45" s="10" t="n"/>
    </row>
    <row r="46" ht="24" customHeight="1" s="3">
      <c r="A46" s="114" t="inlineStr">
        <is>
          <t>六、十六进制示例（均为简单包完整帧）</t>
        </is>
      </c>
      <c r="B46" s="160" t="n"/>
      <c r="C46" s="160" t="n"/>
      <c r="D46" s="160" t="n"/>
      <c r="E46" s="160" t="n"/>
      <c r="F46" s="161" t="n"/>
    </row>
    <row r="47" ht="33.95" customHeight="1" s="3">
      <c r="A47" s="115" t="inlineStr">
        <is>
          <t>示例</t>
        </is>
      </c>
      <c r="B47" s="115" t="inlineStr">
        <is>
          <t>内容</t>
        </is>
      </c>
      <c r="C47" s="167" t="n"/>
      <c r="D47" s="167" t="n"/>
      <c r="E47" s="167" t="n"/>
      <c r="F47" s="168" t="n"/>
    </row>
    <row r="48" ht="33.95" customHeight="1" s="3">
      <c r="A48" s="13" t="inlineStr">
        <is>
          <t>零事件</t>
        </is>
      </c>
      <c r="B48" s="113" t="inlineStr">
        <is>
          <t>03 00 05 02 1A 08 12 00</t>
        </is>
      </c>
      <c r="C48" s="165" t="n"/>
      <c r="D48" s="165" t="n"/>
      <c r="E48" s="165" t="n"/>
      <c r="F48" s="166" t="n"/>
    </row>
    <row r="49" ht="33.95" customHeight="1" s="3">
      <c r="A49" s="13" t="inlineStr">
        <is>
          <t>零事件解码</t>
        </is>
      </c>
      <c r="B49" s="113" t="inlineStr">
        <is>
          <t>Type=0x03；PayloadLength=5；SubVersion=0x02；日期=2026-08-18；EventCount=0</t>
        </is>
      </c>
      <c r="C49" s="165" t="n"/>
      <c r="D49" s="165" t="n"/>
      <c r="E49" s="165" t="n"/>
      <c r="F49" s="166" t="n"/>
    </row>
    <row r="50" ht="74.09999999999999" customHeight="1" s="3">
      <c r="A50" s="13" t="inlineStr">
        <is>
          <t>单事件</t>
        </is>
      </c>
      <c r="B50" s="113" t="inlineStr">
        <is>
          <t>03 00 34 02 1A 08 12 01 05 30 39 3A 30 30 07 53 74 61 6E 64 75 70 0A 44 61 69 6C 79 20 73 79 6E 63 02 05 30 39 3A 33 30 0E 53 68 61 72 65 20 62 6C 6F 63 6B 65 72 73</t>
        </is>
      </c>
      <c r="C50" s="165" t="n"/>
      <c r="D50" s="165" t="n"/>
      <c r="E50" s="165" t="n"/>
      <c r="F50" s="166" t="n"/>
    </row>
    <row r="51" ht="44.1" customHeight="1" s="3">
      <c r="A51" s="13" t="inlineStr">
        <is>
          <t>单事件解码</t>
        </is>
      </c>
      <c r="B51" s="113" t="inlineStr">
        <is>
          <t>09:00｜Standup｜Daily sync｜Category=0x02｜09:30｜Share blockers；PayloadLength=52(0x0034)</t>
        </is>
      </c>
      <c r="C51" s="165" t="n"/>
      <c r="D51" s="165" t="n"/>
      <c r="E51" s="165" t="n"/>
      <c r="F51" s="166" t="n"/>
    </row>
    <row r="52" ht="16.5" customHeight="1" s="3">
      <c r="A52" s="10" t="n"/>
      <c r="B52" s="10" t="n"/>
      <c r="C52" s="10" t="n"/>
      <c r="D52" s="10" t="n"/>
      <c r="E52" s="10" t="n"/>
      <c r="F52" s="10" t="n"/>
    </row>
    <row r="53" ht="24" customHeight="1" s="3">
      <c r="A53" s="114" t="inlineStr">
        <is>
          <t>七、验收规则</t>
        </is>
      </c>
      <c r="B53" s="160" t="n"/>
      <c r="C53" s="160" t="n"/>
      <c r="D53" s="160" t="n"/>
      <c r="E53" s="160" t="n"/>
      <c r="F53" s="161" t="n"/>
    </row>
    <row r="54" ht="42" customHeight="1" s="3">
      <c r="A54" s="13" t="inlineStr">
        <is>
          <t>1</t>
        </is>
      </c>
      <c r="B54" s="113" t="inlineStr">
        <is>
          <t>零事件与单事件示例可按字段边界完整解析，且解析后无剩余字节</t>
        </is>
      </c>
      <c r="C54" s="165" t="n"/>
      <c r="D54" s="165" t="n"/>
      <c r="E54" s="165" t="n"/>
      <c r="F54" s="166" t="n"/>
    </row>
    <row r="55" ht="42" customHeight="1" s="3">
      <c r="A55" s="13" t="inlineStr">
        <is>
          <t>2</t>
        </is>
      </c>
      <c r="B55" s="113" t="inlineStr">
        <is>
          <t>Description 为空、Title 为空、Category&gt;0x06、非法日期/时间或定时事件 EndTime≤Time 时整包拒绝</t>
        </is>
      </c>
      <c r="C55" s="165" t="n"/>
      <c r="D55" s="165" t="n"/>
      <c r="E55" s="165" t="n"/>
      <c r="F55" s="166" t="n"/>
    </row>
    <row r="56" ht="42" customHeight="1" s="3">
      <c r="A56" s="13" t="inlineStr">
        <is>
          <t>3</t>
        </is>
      </c>
      <c r="B56" s="113" t="inlineStr">
        <is>
          <t>旧版简化 Schedule 无 SubVersion=0x02，必须严格拒绝且不得改变当前显示</t>
        </is>
      </c>
      <c r="C56" s="165" t="n"/>
      <c r="D56" s="165" t="n"/>
      <c r="E56" s="165" t="n"/>
      <c r="F56" s="166" t="n"/>
    </row>
    <row r="57" ht="42" customHeight="1" s="3">
      <c r="A57" s="13" t="inlineStr">
        <is>
          <t>4</t>
        </is>
      </c>
      <c r="B57" s="113" t="inlineStr">
        <is>
          <t>相同 Schedule 与 DayPack 不替换、不刷新；任一可见字段不同则显示完整 Schedule 描述</t>
        </is>
      </c>
      <c r="C57" s="165" t="n"/>
      <c r="D57" s="165" t="n"/>
      <c r="E57" s="165" t="n"/>
      <c r="F57" s="166" t="n"/>
    </row>
    <row r="58" ht="42" customHeight="1" s="3">
      <c r="A58" s="13" t="inlineStr">
        <is>
          <t>5</t>
        </is>
      </c>
      <c r="B58" s="113" t="inlineStr">
        <is>
          <t>Schedule 替换日程后，DayPack 的 PetDialogue、TopTasks、SettlementData、DaySummary、FirstUp 等保持不变</t>
        </is>
      </c>
      <c r="C58" s="165" t="n"/>
      <c r="D58" s="165" t="n"/>
      <c r="E58" s="165" t="n"/>
      <c r="F58" s="166" t="n"/>
    </row>
    <row r="59" ht="42" customHeight="1" s="3">
      <c r="A59" s="13" t="inlineStr">
        <is>
          <t>6</t>
        </is>
      </c>
      <c r="B59" s="113" t="inlineStr">
        <is>
          <t>简单包与 11B 分包重组后的业务结果一致；失败时保留原有日程</t>
        </is>
      </c>
      <c r="C59" s="165" t="n"/>
      <c r="D59" s="165" t="n"/>
      <c r="E59" s="165" t="n"/>
      <c r="F59" s="166" t="n"/>
    </row>
  </sheetData>
  <mergeCells count="33">
    <mergeCell ref="A46:F46"/>
    <mergeCell ref="B47:F47"/>
    <mergeCell ref="B54:F54"/>
    <mergeCell ref="B25:F25"/>
    <mergeCell ref="B59:F59"/>
    <mergeCell ref="B56:F56"/>
    <mergeCell ref="B58:F58"/>
    <mergeCell ref="B27:F27"/>
    <mergeCell ref="A2:F2"/>
    <mergeCell ref="B43:F43"/>
    <mergeCell ref="B39:F39"/>
    <mergeCell ref="B48:F48"/>
    <mergeCell ref="B42:F42"/>
    <mergeCell ref="A22:F22"/>
    <mergeCell ref="B23:F23"/>
    <mergeCell ref="A4:F4"/>
    <mergeCell ref="A53:F53"/>
    <mergeCell ref="B57:F57"/>
    <mergeCell ref="A38:F38"/>
    <mergeCell ref="B44:F44"/>
    <mergeCell ref="B29:F29"/>
    <mergeCell ref="A13:F13"/>
    <mergeCell ref="B28:F28"/>
    <mergeCell ref="A31:F31"/>
    <mergeCell ref="B40:F40"/>
    <mergeCell ref="B49:F49"/>
    <mergeCell ref="B55:F55"/>
    <mergeCell ref="B24:F24"/>
    <mergeCell ref="A1:F1"/>
    <mergeCell ref="B51:F51"/>
    <mergeCell ref="B50:F50"/>
    <mergeCell ref="B26:F26"/>
    <mergeCell ref="B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Zhuang Wang</dc:creator>
  <dcterms:created xmlns:dcterms="http://purl.org/dc/terms/" xmlns:xsi="http://www.w3.org/2001/XMLSchema-instance" xsi:type="dcterms:W3CDTF">2026-08-19T04:37:39Z</dcterms:created>
  <dcterms:modified xmlns:dcterms="http://purl.org/dc/terms/" xmlns:xsi="http://www.w3.org/2001/XMLSchema-instance" xsi:type="dcterms:W3CDTF">2026-08-20T07:09:53Z</dcterms:modified>
  <cp:lastModifiedBy>Zhuang Wang</cp:lastModifiedBy>
</cp:coreProperties>
</file>